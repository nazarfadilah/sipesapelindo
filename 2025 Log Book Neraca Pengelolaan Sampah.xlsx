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kbar\Documents\Documents\Perkuliahan\Perkuliahan Poliban Teknik Informatika\Semester 5\Magang\Tugas Manipulasi Excel Pengelolaan Limbah\"/>
    </mc:Choice>
  </mc:AlternateContent>
  <xr:revisionPtr revIDLastSave="0" documentId="13_ncr:1_{71C9A679-F750-4F51-B495-9AEB00810EE7}" xr6:coauthVersionLast="47" xr6:coauthVersionMax="47" xr10:uidLastSave="{00000000-0000-0000-0000-000000000000}"/>
  <bookViews>
    <workbookView xWindow="-120" yWindow="-120" windowWidth="20730" windowHeight="11160" tabRatio="993" xr2:uid="{EA5DADAD-73AC-4179-8791-FF38DDC839EC}"/>
  </bookViews>
  <sheets>
    <sheet name="Rekap Neraca Pengelolaan Sampah" sheetId="42" r:id="rId1"/>
    <sheet name="Rekap Sampah terkelola" sheetId="39" r:id="rId2"/>
    <sheet name="Rekap area" sheetId="1" r:id="rId3"/>
    <sheet name="Juli" sheetId="2" r:id="rId4"/>
    <sheet name="Agustus" sheetId="70" r:id="rId5"/>
    <sheet name="September" sheetId="69" r:id="rId6"/>
    <sheet name="Oktober" sheetId="68" r:id="rId7"/>
    <sheet name="November" sheetId="67" r:id="rId8"/>
    <sheet name="Desember" sheetId="66" r:id="rId9"/>
    <sheet name="Januari" sheetId="71" r:id="rId10"/>
    <sheet name="Februari" sheetId="72" r:id="rId11"/>
    <sheet name="Maret" sheetId="73" r:id="rId12"/>
    <sheet name="April" sheetId="74" r:id="rId13"/>
    <sheet name="Mei" sheetId="75" r:id="rId14"/>
    <sheet name="Juni" sheetId="76" r:id="rId15"/>
  </sheets>
  <externalReferences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_xlnm.Print_Area" localSheetId="4">Agustus!$A$1:$AB$41</definedName>
    <definedName name="_xlnm.Print_Area" localSheetId="12">April!$A$1:$AB$41</definedName>
    <definedName name="_xlnm.Print_Area" localSheetId="8">Desember!$A$1:$AB$41</definedName>
    <definedName name="_xlnm.Print_Area" localSheetId="10">Februari!$A$1:$AB$41</definedName>
    <definedName name="_xlnm.Print_Area" localSheetId="9">Januari!$A$1:$AB$41</definedName>
    <definedName name="_xlnm.Print_Area" localSheetId="3">Juli!$A$1:$AB$41</definedName>
    <definedName name="_xlnm.Print_Area" localSheetId="14">Juni!$A$1:$AB$41</definedName>
    <definedName name="_xlnm.Print_Area" localSheetId="11">Maret!$A$1:$AB$41</definedName>
    <definedName name="_xlnm.Print_Area" localSheetId="13">Mei!$A$1:$AB$41</definedName>
    <definedName name="_xlnm.Print_Area" localSheetId="7">November!$A$1:$AB$41</definedName>
    <definedName name="_xlnm.Print_Area" localSheetId="6">Oktober!$A$1:$AB$41</definedName>
    <definedName name="_xlnm.Print_Area" localSheetId="0">'Rekap Neraca Pengelolaan Sampah'!$A$1:$L$23</definedName>
    <definedName name="_xlnm.Print_Area" localSheetId="5">September!$A$1:$AB$41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2" l="1"/>
  <c r="D10" i="2"/>
  <c r="D12" i="2"/>
  <c r="D15" i="2"/>
  <c r="D17" i="2"/>
  <c r="D19" i="2"/>
  <c r="D23" i="2"/>
  <c r="D25" i="2"/>
  <c r="D26" i="2"/>
  <c r="D29" i="2"/>
  <c r="D32" i="2"/>
  <c r="D38" i="2"/>
  <c r="H8" i="2"/>
  <c r="H10" i="2"/>
  <c r="H11" i="2"/>
  <c r="H15" i="2"/>
  <c r="H17" i="2"/>
  <c r="H19" i="2"/>
  <c r="H23" i="2"/>
  <c r="H25" i="2"/>
  <c r="H29" i="2"/>
  <c r="H32" i="2"/>
  <c r="H36" i="2"/>
  <c r="P8" i="2"/>
  <c r="P10" i="2"/>
  <c r="P15" i="2"/>
  <c r="P17" i="2"/>
  <c r="P18" i="2"/>
  <c r="P19" i="2"/>
  <c r="P22" i="2"/>
  <c r="P24" i="2"/>
  <c r="P26" i="2"/>
  <c r="P30" i="2"/>
  <c r="P32" i="2"/>
  <c r="P37" i="2"/>
  <c r="T8" i="2"/>
  <c r="T9" i="2"/>
  <c r="T10" i="2"/>
  <c r="T11" i="2"/>
  <c r="T12" i="2"/>
  <c r="T13" i="2"/>
  <c r="T15" i="2"/>
  <c r="T16" i="2"/>
  <c r="T17" i="2"/>
  <c r="T18" i="2"/>
  <c r="T19" i="2"/>
  <c r="X8" i="2"/>
  <c r="X12" i="2"/>
  <c r="X19" i="2"/>
  <c r="X24" i="2"/>
  <c r="X31" i="2"/>
  <c r="X36" i="2"/>
  <c r="T28" i="70"/>
  <c r="T27" i="70"/>
  <c r="T26" i="70"/>
  <c r="T23" i="70"/>
  <c r="T22" i="70"/>
  <c r="T21" i="70"/>
  <c r="T20" i="70"/>
  <c r="T19" i="70"/>
  <c r="T16" i="70"/>
  <c r="T15" i="70"/>
  <c r="T14" i="70"/>
  <c r="T13" i="70"/>
  <c r="T12" i="70"/>
  <c r="T9" i="70"/>
  <c r="T8" i="70"/>
  <c r="P37" i="70"/>
  <c r="P35" i="70"/>
  <c r="P33" i="70"/>
  <c r="P30" i="70"/>
  <c r="P28" i="70"/>
  <c r="P26" i="70"/>
  <c r="P23" i="70"/>
  <c r="P21" i="70"/>
  <c r="P19" i="70"/>
  <c r="P15" i="70"/>
  <c r="P14" i="70"/>
  <c r="P12" i="70"/>
  <c r="P8" i="70"/>
  <c r="H36" i="70"/>
  <c r="H34" i="70"/>
  <c r="H30" i="70"/>
  <c r="H28" i="70"/>
  <c r="H26" i="70"/>
  <c r="H23" i="70"/>
  <c r="H21" i="70"/>
  <c r="H19" i="70"/>
  <c r="H16" i="70"/>
  <c r="H14" i="70"/>
  <c r="H12" i="70"/>
  <c r="H8" i="70"/>
  <c r="D35" i="70"/>
  <c r="D33" i="70"/>
  <c r="D30" i="70"/>
  <c r="D28" i="70"/>
  <c r="D26" i="70"/>
  <c r="D22" i="70"/>
  <c r="D20" i="70"/>
  <c r="D19" i="70"/>
  <c r="D16" i="70"/>
  <c r="D14" i="70"/>
  <c r="D13" i="70"/>
  <c r="D9" i="70"/>
  <c r="D8" i="70"/>
  <c r="X20" i="72"/>
  <c r="X15" i="72"/>
  <c r="X11" i="72"/>
  <c r="X8" i="72"/>
  <c r="T20" i="72"/>
  <c r="T18" i="72"/>
  <c r="T17" i="72"/>
  <c r="T15" i="72"/>
  <c r="T13" i="72"/>
  <c r="T12" i="72"/>
  <c r="T11" i="72"/>
  <c r="T10" i="72"/>
  <c r="T8" i="72"/>
  <c r="P34" i="72"/>
  <c r="P32" i="72"/>
  <c r="P29" i="72"/>
  <c r="P26" i="72"/>
  <c r="P22" i="72"/>
  <c r="P20" i="72"/>
  <c r="P18" i="72"/>
  <c r="P16" i="72"/>
  <c r="P14" i="72"/>
  <c r="P12" i="72"/>
  <c r="P10" i="72"/>
  <c r="P8" i="72"/>
  <c r="H30" i="72"/>
  <c r="H27" i="72"/>
  <c r="H22" i="72"/>
  <c r="H18" i="72"/>
  <c r="H14" i="72"/>
  <c r="H12" i="72"/>
  <c r="H10" i="72"/>
  <c r="H8" i="72"/>
  <c r="D35" i="72"/>
  <c r="D31" i="72"/>
  <c r="D20" i="72"/>
  <c r="D18" i="72"/>
  <c r="D17" i="72"/>
  <c r="D14" i="72"/>
  <c r="D13" i="72"/>
  <c r="D11" i="72"/>
  <c r="D10" i="72"/>
  <c r="X38" i="71"/>
  <c r="X30" i="71"/>
  <c r="X23" i="71"/>
  <c r="X9" i="71"/>
  <c r="T37" i="71"/>
  <c r="T31" i="71"/>
  <c r="T30" i="71"/>
  <c r="T29" i="71"/>
  <c r="T28" i="71"/>
  <c r="T27" i="71"/>
  <c r="T21" i="71"/>
  <c r="T20" i="71"/>
  <c r="T17" i="71"/>
  <c r="T16" i="71"/>
  <c r="T15" i="71"/>
  <c r="T13" i="71"/>
  <c r="T9" i="71"/>
  <c r="P37" i="71"/>
  <c r="P35" i="71"/>
  <c r="P31" i="71"/>
  <c r="P29" i="71"/>
  <c r="P27" i="71"/>
  <c r="P25" i="71"/>
  <c r="P23" i="71"/>
  <c r="P21" i="71"/>
  <c r="P19" i="71"/>
  <c r="P17" i="71"/>
  <c r="P13" i="71"/>
  <c r="P11" i="71"/>
  <c r="P9" i="71"/>
  <c r="H37" i="71"/>
  <c r="H29" i="71"/>
  <c r="H27" i="71"/>
  <c r="H22" i="71"/>
  <c r="H17" i="71"/>
  <c r="H15" i="71"/>
  <c r="H10" i="71"/>
  <c r="D37" i="71"/>
  <c r="D30" i="71"/>
  <c r="D27" i="71"/>
  <c r="D24" i="71"/>
  <c r="D20" i="71"/>
  <c r="D13" i="71"/>
  <c r="D9" i="71"/>
  <c r="X17" i="68"/>
  <c r="X15" i="68"/>
  <c r="X11" i="68"/>
  <c r="X8" i="68"/>
  <c r="T17" i="68"/>
  <c r="T16" i="68"/>
  <c r="T15" i="68"/>
  <c r="T14" i="68"/>
  <c r="T11" i="68"/>
  <c r="T10" i="68"/>
  <c r="T9" i="68"/>
  <c r="T8" i="68"/>
  <c r="P38" i="68"/>
  <c r="P35" i="68"/>
  <c r="P33" i="68"/>
  <c r="P31" i="68"/>
  <c r="P29" i="68"/>
  <c r="P27" i="68"/>
  <c r="P25" i="68"/>
  <c r="P23" i="68"/>
  <c r="P22" i="68"/>
  <c r="P20" i="68"/>
  <c r="P19" i="68"/>
  <c r="P17" i="68"/>
  <c r="P15" i="68"/>
  <c r="P14" i="68"/>
  <c r="P12" i="68"/>
  <c r="P10" i="68"/>
  <c r="P8" i="68"/>
  <c r="H35" i="68"/>
  <c r="H30" i="68"/>
  <c r="H28" i="68"/>
  <c r="H25" i="68"/>
  <c r="H23" i="68"/>
  <c r="H21" i="68"/>
  <c r="H18" i="68"/>
  <c r="H17" i="68"/>
  <c r="H16" i="68"/>
  <c r="H14" i="68"/>
  <c r="H12" i="68"/>
  <c r="H10" i="68"/>
  <c r="H8" i="68"/>
  <c r="D35" i="68"/>
  <c r="D30" i="68"/>
  <c r="D28" i="68"/>
  <c r="D25" i="68"/>
  <c r="D23" i="68"/>
  <c r="D18" i="68"/>
  <c r="D16" i="68"/>
  <c r="D14" i="68"/>
  <c r="D11" i="68"/>
  <c r="D10" i="68"/>
  <c r="D8" i="68"/>
  <c r="T19" i="69"/>
  <c r="T18" i="69"/>
  <c r="T17" i="69"/>
  <c r="T16" i="69"/>
  <c r="T13" i="69"/>
  <c r="T12" i="69"/>
  <c r="T11" i="69"/>
  <c r="T10" i="69"/>
  <c r="T9" i="69"/>
  <c r="P33" i="69"/>
  <c r="P31" i="69"/>
  <c r="P30" i="69"/>
  <c r="P27" i="69"/>
  <c r="P26" i="69"/>
  <c r="P21" i="69"/>
  <c r="P19" i="69"/>
  <c r="P18" i="69"/>
  <c r="P16" i="69"/>
  <c r="P13" i="69"/>
  <c r="P11" i="69"/>
  <c r="P10" i="69"/>
  <c r="P9" i="69"/>
  <c r="H37" i="69"/>
  <c r="H34" i="69"/>
  <c r="H32" i="69"/>
  <c r="H30" i="69"/>
  <c r="H26" i="69"/>
  <c r="H25" i="69"/>
  <c r="H24" i="69"/>
  <c r="H20" i="69"/>
  <c r="H19" i="69"/>
  <c r="H17" i="69"/>
  <c r="H16" i="69"/>
  <c r="H12" i="69"/>
  <c r="H10" i="69"/>
  <c r="H9" i="69"/>
  <c r="D37" i="69"/>
  <c r="D34" i="69"/>
  <c r="D32" i="69"/>
  <c r="D30" i="69"/>
  <c r="D24" i="69"/>
  <c r="D18" i="69"/>
  <c r="D16" i="69"/>
  <c r="D13" i="69"/>
  <c r="D11" i="69"/>
  <c r="D10" i="69"/>
  <c r="D9" i="69"/>
  <c r="S35" i="72"/>
  <c r="S34" i="72"/>
  <c r="S33" i="72"/>
  <c r="S32" i="72"/>
  <c r="S31" i="72"/>
  <c r="S28" i="72"/>
  <c r="S26" i="72"/>
  <c r="S25" i="72"/>
  <c r="S24" i="72"/>
  <c r="S21" i="72"/>
  <c r="S20" i="72"/>
  <c r="S19" i="72"/>
  <c r="S18" i="72"/>
  <c r="S17" i="72"/>
  <c r="S14" i="72"/>
  <c r="S11" i="72"/>
  <c r="S10" i="72"/>
  <c r="Q27" i="69"/>
  <c r="K35" i="76"/>
  <c r="K33" i="76"/>
  <c r="K32" i="76"/>
  <c r="K31" i="76"/>
  <c r="K30" i="76"/>
  <c r="K26" i="76"/>
  <c r="K25" i="76"/>
  <c r="K24" i="76"/>
  <c r="K23" i="76"/>
  <c r="K21" i="76"/>
  <c r="K20" i="76"/>
  <c r="K19" i="76"/>
  <c r="K17" i="76"/>
  <c r="K14" i="76"/>
  <c r="K12" i="76"/>
  <c r="K10" i="76"/>
  <c r="K9" i="76"/>
  <c r="T35" i="76"/>
  <c r="T33" i="76"/>
  <c r="T32" i="76"/>
  <c r="T31" i="76"/>
  <c r="T30" i="76"/>
  <c r="T29" i="76"/>
  <c r="T27" i="76"/>
  <c r="T24" i="76"/>
  <c r="T23" i="76"/>
  <c r="T21" i="76"/>
  <c r="T19" i="76"/>
  <c r="T17" i="76"/>
  <c r="T14" i="76"/>
  <c r="T12" i="76"/>
  <c r="T10" i="76"/>
  <c r="T9" i="76"/>
  <c r="X35" i="76"/>
  <c r="X33" i="76"/>
  <c r="X30" i="76"/>
  <c r="X26" i="76"/>
  <c r="X23" i="76"/>
  <c r="X20" i="76"/>
  <c r="X17" i="76"/>
  <c r="X14" i="76"/>
  <c r="X11" i="76"/>
  <c r="P33" i="76"/>
  <c r="P31" i="76"/>
  <c r="P27" i="76"/>
  <c r="P25" i="76"/>
  <c r="P23" i="76"/>
  <c r="P20" i="76"/>
  <c r="P19" i="76"/>
  <c r="P17" i="76"/>
  <c r="P14" i="76"/>
  <c r="P12" i="76"/>
  <c r="P11" i="76"/>
  <c r="P9" i="76"/>
  <c r="H35" i="76"/>
  <c r="H32" i="76"/>
  <c r="H30" i="76"/>
  <c r="H27" i="76"/>
  <c r="H25" i="76"/>
  <c r="H23" i="76"/>
  <c r="H21" i="76"/>
  <c r="H19" i="76"/>
  <c r="H17" i="76"/>
  <c r="H14" i="76"/>
  <c r="H11" i="76"/>
  <c r="H9" i="76"/>
  <c r="D35" i="76"/>
  <c r="D33" i="76"/>
  <c r="D31" i="76"/>
  <c r="D28" i="76"/>
  <c r="D25" i="76"/>
  <c r="D23" i="76"/>
  <c r="D20" i="76"/>
  <c r="D18" i="76"/>
  <c r="D17" i="76"/>
  <c r="D12" i="76"/>
  <c r="D10" i="76"/>
  <c r="O9" i="76"/>
  <c r="O10" i="76"/>
  <c r="O11" i="76"/>
  <c r="O12" i="76"/>
  <c r="O13" i="76"/>
  <c r="O14" i="76"/>
  <c r="O15" i="76"/>
  <c r="O16" i="76"/>
  <c r="O17" i="76"/>
  <c r="O18" i="76"/>
  <c r="O19" i="76"/>
  <c r="O20" i="76"/>
  <c r="O21" i="76"/>
  <c r="O22" i="76"/>
  <c r="O23" i="76"/>
  <c r="O24" i="76"/>
  <c r="O25" i="76"/>
  <c r="O26" i="76"/>
  <c r="O27" i="76"/>
  <c r="O28" i="76"/>
  <c r="O29" i="76"/>
  <c r="O30" i="76"/>
  <c r="O31" i="76"/>
  <c r="O32" i="76"/>
  <c r="O33" i="76"/>
  <c r="O34" i="76"/>
  <c r="O35" i="76"/>
  <c r="O36" i="76"/>
  <c r="O37" i="76"/>
  <c r="O8" i="76"/>
  <c r="G9" i="76"/>
  <c r="G10" i="76"/>
  <c r="G11" i="76"/>
  <c r="G12" i="76"/>
  <c r="G13" i="76"/>
  <c r="G14" i="76"/>
  <c r="G15" i="76"/>
  <c r="G16" i="76"/>
  <c r="G17" i="76"/>
  <c r="G18" i="76"/>
  <c r="G19" i="76"/>
  <c r="G20" i="76"/>
  <c r="G21" i="76"/>
  <c r="G22" i="76"/>
  <c r="G23" i="76"/>
  <c r="G24" i="76"/>
  <c r="G25" i="76"/>
  <c r="G26" i="76"/>
  <c r="G27" i="76"/>
  <c r="G28" i="76"/>
  <c r="G29" i="76"/>
  <c r="G30" i="76"/>
  <c r="G31" i="76"/>
  <c r="G32" i="76"/>
  <c r="G33" i="76"/>
  <c r="G34" i="76"/>
  <c r="G35" i="76"/>
  <c r="G36" i="76"/>
  <c r="G37" i="76"/>
  <c r="G8" i="76"/>
  <c r="C9" i="76"/>
  <c r="C10" i="76"/>
  <c r="C11" i="76"/>
  <c r="C12" i="76"/>
  <c r="C13" i="76"/>
  <c r="C14" i="76"/>
  <c r="C15" i="76"/>
  <c r="C16" i="76"/>
  <c r="C17" i="76"/>
  <c r="C18" i="76"/>
  <c r="C19" i="76"/>
  <c r="C20" i="76"/>
  <c r="C21" i="76"/>
  <c r="C22" i="76"/>
  <c r="C23" i="76"/>
  <c r="C24" i="76"/>
  <c r="C25" i="76"/>
  <c r="C26" i="76"/>
  <c r="C27" i="76"/>
  <c r="C28" i="76"/>
  <c r="C29" i="76"/>
  <c r="C30" i="76"/>
  <c r="C31" i="76"/>
  <c r="C32" i="76"/>
  <c r="C33" i="76"/>
  <c r="C34" i="76"/>
  <c r="C35" i="76"/>
  <c r="C36" i="76"/>
  <c r="C37" i="76"/>
  <c r="C8" i="76"/>
  <c r="X16" i="75" l="1"/>
  <c r="X13" i="75"/>
  <c r="T23" i="75"/>
  <c r="T21" i="75"/>
  <c r="T20" i="75"/>
  <c r="T17" i="75"/>
  <c r="T16" i="75"/>
  <c r="T15" i="75"/>
  <c r="T14" i="75"/>
  <c r="T13" i="75"/>
  <c r="T12" i="75"/>
  <c r="T10" i="75"/>
  <c r="T9" i="75"/>
  <c r="P38" i="75"/>
  <c r="P35" i="75"/>
  <c r="P33" i="75"/>
  <c r="P31" i="75"/>
  <c r="P28" i="75"/>
  <c r="P26" i="75"/>
  <c r="P24" i="75"/>
  <c r="P22" i="75"/>
  <c r="P20" i="75"/>
  <c r="P15" i="75"/>
  <c r="P12" i="75"/>
  <c r="P10" i="75"/>
  <c r="H38" i="75"/>
  <c r="H34" i="75"/>
  <c r="H30" i="75"/>
  <c r="H28" i="75"/>
  <c r="H26" i="75"/>
  <c r="H23" i="75"/>
  <c r="H21" i="75"/>
  <c r="H19" i="75"/>
  <c r="H17" i="75"/>
  <c r="H15" i="75"/>
  <c r="H12" i="75"/>
  <c r="H9" i="75"/>
  <c r="D33" i="75"/>
  <c r="D30" i="75"/>
  <c r="D28" i="75"/>
  <c r="D26" i="75"/>
  <c r="D23" i="75"/>
  <c r="D21" i="75"/>
  <c r="D16" i="75"/>
  <c r="D14" i="75"/>
  <c r="D12" i="75"/>
  <c r="S38" i="75"/>
  <c r="S37" i="75"/>
  <c r="S35" i="75"/>
  <c r="S33" i="75"/>
  <c r="S31" i="75"/>
  <c r="S30" i="75"/>
  <c r="S29" i="75"/>
  <c r="S28" i="75"/>
  <c r="S26" i="75"/>
  <c r="S23" i="75"/>
  <c r="S21" i="75"/>
  <c r="S20" i="75"/>
  <c r="S17" i="75"/>
  <c r="S16" i="75"/>
  <c r="S15" i="75"/>
  <c r="S14" i="75"/>
  <c r="S13" i="75"/>
  <c r="S12" i="75"/>
  <c r="S10" i="75"/>
  <c r="S9" i="75"/>
  <c r="U34" i="75"/>
  <c r="E34" i="75"/>
  <c r="I34" i="75"/>
  <c r="Q34" i="75"/>
  <c r="Y34" i="75"/>
  <c r="O9" i="75"/>
  <c r="O10" i="75"/>
  <c r="O11" i="75"/>
  <c r="O12" i="75"/>
  <c r="O13" i="75"/>
  <c r="O14" i="75"/>
  <c r="O15" i="75"/>
  <c r="O16" i="75"/>
  <c r="O17" i="75"/>
  <c r="O18" i="75"/>
  <c r="O19" i="75"/>
  <c r="O20" i="75"/>
  <c r="O21" i="75"/>
  <c r="O22" i="75"/>
  <c r="O23" i="75"/>
  <c r="O24" i="75"/>
  <c r="O25" i="75"/>
  <c r="O26" i="75"/>
  <c r="O27" i="75"/>
  <c r="O28" i="75"/>
  <c r="O29" i="75"/>
  <c r="O30" i="75"/>
  <c r="O31" i="75"/>
  <c r="O32" i="75"/>
  <c r="O33" i="75"/>
  <c r="O34" i="75"/>
  <c r="O35" i="75"/>
  <c r="O36" i="75"/>
  <c r="O37" i="75"/>
  <c r="O38" i="75"/>
  <c r="O8" i="75"/>
  <c r="G9" i="75"/>
  <c r="G10" i="75"/>
  <c r="G11" i="75"/>
  <c r="G12" i="75"/>
  <c r="G13" i="75"/>
  <c r="G14" i="75"/>
  <c r="G15" i="75"/>
  <c r="G16" i="75"/>
  <c r="G17" i="75"/>
  <c r="G18" i="75"/>
  <c r="G19" i="75"/>
  <c r="G20" i="75"/>
  <c r="G21" i="75"/>
  <c r="G22" i="75"/>
  <c r="G23" i="75"/>
  <c r="G24" i="75"/>
  <c r="G25" i="75"/>
  <c r="G26" i="75"/>
  <c r="G27" i="75"/>
  <c r="G28" i="75"/>
  <c r="G29" i="75"/>
  <c r="G30" i="75"/>
  <c r="G31" i="75"/>
  <c r="G32" i="75"/>
  <c r="G33" i="75"/>
  <c r="G34" i="75"/>
  <c r="G35" i="75"/>
  <c r="G36" i="75"/>
  <c r="G37" i="75"/>
  <c r="G38" i="75"/>
  <c r="G8" i="75"/>
  <c r="C9" i="75"/>
  <c r="C10" i="75"/>
  <c r="C11" i="75"/>
  <c r="C12" i="75"/>
  <c r="C13" i="75"/>
  <c r="C14" i="75"/>
  <c r="C15" i="75"/>
  <c r="C16" i="75"/>
  <c r="C17" i="75"/>
  <c r="C18" i="75"/>
  <c r="C19" i="75"/>
  <c r="C20" i="75"/>
  <c r="C21" i="75"/>
  <c r="C22" i="75"/>
  <c r="C23" i="75"/>
  <c r="C24" i="75"/>
  <c r="C25" i="75"/>
  <c r="C26" i="75"/>
  <c r="C27" i="75"/>
  <c r="C28" i="75"/>
  <c r="C29" i="75"/>
  <c r="C30" i="75"/>
  <c r="C31" i="75"/>
  <c r="C32" i="75"/>
  <c r="C33" i="75"/>
  <c r="C34" i="75"/>
  <c r="C35" i="75"/>
  <c r="C36" i="75"/>
  <c r="C37" i="75"/>
  <c r="C38" i="75"/>
  <c r="C8" i="75"/>
  <c r="S37" i="74" l="1"/>
  <c r="S35" i="74"/>
  <c r="S32" i="74"/>
  <c r="S30" i="74"/>
  <c r="S28" i="74"/>
  <c r="S26" i="74"/>
  <c r="S23" i="74"/>
  <c r="S22" i="74"/>
  <c r="S21" i="74"/>
  <c r="S19" i="74"/>
  <c r="S18" i="74"/>
  <c r="S17" i="74"/>
  <c r="S16" i="74"/>
  <c r="S14" i="74"/>
  <c r="T19" i="74"/>
  <c r="T18" i="74"/>
  <c r="T17" i="74"/>
  <c r="T16" i="74"/>
  <c r="T14" i="74"/>
  <c r="T11" i="74"/>
  <c r="P36" i="74"/>
  <c r="P32" i="74"/>
  <c r="P28" i="74"/>
  <c r="P24" i="74"/>
  <c r="P19" i="74"/>
  <c r="P18" i="74"/>
  <c r="P14" i="74"/>
  <c r="P12" i="74"/>
  <c r="H35" i="74"/>
  <c r="H31" i="74"/>
  <c r="H29" i="74"/>
  <c r="H23" i="74"/>
  <c r="H21" i="74"/>
  <c r="H16" i="74"/>
  <c r="D37" i="74"/>
  <c r="D35" i="74"/>
  <c r="D31" i="74"/>
  <c r="D29" i="74"/>
  <c r="D28" i="74"/>
  <c r="D23" i="74"/>
  <c r="D21" i="74"/>
  <c r="D19" i="74"/>
  <c r="D17" i="74"/>
  <c r="D15" i="74"/>
  <c r="S34" i="73"/>
  <c r="S33" i="73"/>
  <c r="S32" i="73"/>
  <c r="S31" i="73"/>
  <c r="S28" i="73"/>
  <c r="S27" i="73"/>
  <c r="S25" i="73"/>
  <c r="S24" i="73"/>
  <c r="S21" i="73"/>
  <c r="S20" i="73"/>
  <c r="S19" i="73"/>
  <c r="S18" i="73"/>
  <c r="S17" i="73"/>
  <c r="S14" i="73"/>
  <c r="S13" i="73"/>
  <c r="S12" i="73"/>
  <c r="S11" i="73"/>
  <c r="S10" i="73"/>
  <c r="T17" i="73"/>
  <c r="T15" i="73"/>
  <c r="T14" i="73"/>
  <c r="T13" i="73"/>
  <c r="T12" i="73"/>
  <c r="T11" i="73"/>
  <c r="T10" i="73"/>
  <c r="T8" i="73"/>
  <c r="X31" i="73"/>
  <c r="X27" i="73"/>
  <c r="X25" i="73"/>
  <c r="X19" i="73"/>
  <c r="X13" i="73"/>
  <c r="X10" i="73"/>
  <c r="P35" i="73"/>
  <c r="P34" i="73"/>
  <c r="P32" i="73"/>
  <c r="P31" i="73"/>
  <c r="P29" i="73"/>
  <c r="P27" i="73"/>
  <c r="P25" i="73"/>
  <c r="P22" i="73"/>
  <c r="P20" i="73"/>
  <c r="P19" i="73"/>
  <c r="P17" i="73"/>
  <c r="P14" i="73"/>
  <c r="P13" i="73"/>
  <c r="P11" i="73"/>
  <c r="P9" i="73"/>
  <c r="H34" i="73"/>
  <c r="H32" i="73"/>
  <c r="H31" i="73"/>
  <c r="H27" i="73"/>
  <c r="H25" i="73"/>
  <c r="H24" i="73"/>
  <c r="H20" i="73"/>
  <c r="H19" i="73"/>
  <c r="H17" i="73"/>
  <c r="H13" i="73"/>
  <c r="H11" i="73"/>
  <c r="H10" i="73"/>
  <c r="H8" i="73"/>
  <c r="D34" i="73"/>
  <c r="D32" i="73"/>
  <c r="D27" i="73"/>
  <c r="D24" i="73"/>
  <c r="D22" i="73"/>
  <c r="D20" i="73"/>
  <c r="D17" i="73"/>
  <c r="D14" i="73"/>
  <c r="D11" i="73"/>
  <c r="D10" i="73"/>
  <c r="D8" i="73"/>
  <c r="W9" i="74" l="1"/>
  <c r="W11" i="74"/>
  <c r="W13" i="74"/>
  <c r="W14" i="74"/>
  <c r="W17" i="74"/>
  <c r="W18" i="74"/>
  <c r="W19" i="74"/>
  <c r="W20" i="74"/>
  <c r="W22" i="74"/>
  <c r="W23" i="74"/>
  <c r="W24" i="74"/>
  <c r="W25" i="74"/>
  <c r="W26" i="74"/>
  <c r="W27" i="74"/>
  <c r="W28" i="74"/>
  <c r="W29" i="74"/>
  <c r="W32" i="74"/>
  <c r="W33" i="74"/>
  <c r="W34" i="74"/>
  <c r="W35" i="74"/>
  <c r="W36" i="74"/>
  <c r="W8" i="74"/>
  <c r="G9" i="74"/>
  <c r="G11" i="74"/>
  <c r="G12" i="74"/>
  <c r="G13" i="74"/>
  <c r="G15" i="74"/>
  <c r="G16" i="74"/>
  <c r="G17" i="74"/>
  <c r="G18" i="74"/>
  <c r="G20" i="74"/>
  <c r="G21" i="74"/>
  <c r="G22" i="74"/>
  <c r="G23" i="74"/>
  <c r="G24" i="74"/>
  <c r="G25" i="74"/>
  <c r="G26" i="74"/>
  <c r="G27" i="74"/>
  <c r="G28" i="74"/>
  <c r="G29" i="74"/>
  <c r="G30" i="74"/>
  <c r="G31" i="74"/>
  <c r="G32" i="74"/>
  <c r="G33" i="74"/>
  <c r="G34" i="74"/>
  <c r="G35" i="74"/>
  <c r="G36" i="74"/>
  <c r="G37" i="74"/>
  <c r="G8" i="74"/>
  <c r="C13" i="74"/>
  <c r="C15" i="74"/>
  <c r="C17" i="74"/>
  <c r="C19" i="74"/>
  <c r="C20" i="74"/>
  <c r="C21" i="74"/>
  <c r="C22" i="74"/>
  <c r="C24" i="74"/>
  <c r="C25" i="74"/>
  <c r="C26" i="74"/>
  <c r="C27" i="74"/>
  <c r="C30" i="74"/>
  <c r="C34" i="74"/>
  <c r="C36" i="74"/>
  <c r="C37" i="74"/>
  <c r="C8" i="74"/>
  <c r="O9" i="74"/>
  <c r="O11" i="74"/>
  <c r="O13" i="74"/>
  <c r="O15" i="74"/>
  <c r="O17" i="74"/>
  <c r="O19" i="74"/>
  <c r="O20" i="74"/>
  <c r="O22" i="74"/>
  <c r="O24" i="74"/>
  <c r="O25" i="74"/>
  <c r="O27" i="74"/>
  <c r="O28" i="74"/>
  <c r="O29" i="74"/>
  <c r="O31" i="74"/>
  <c r="O32" i="74"/>
  <c r="O34" i="74"/>
  <c r="O35" i="74"/>
  <c r="O36" i="74"/>
  <c r="O8" i="74"/>
  <c r="E11" i="73"/>
  <c r="E10" i="73"/>
  <c r="I11" i="73"/>
  <c r="I10" i="73"/>
  <c r="Q11" i="73"/>
  <c r="Q10" i="73"/>
  <c r="Y11" i="73"/>
  <c r="Y10" i="73"/>
  <c r="U11" i="73"/>
  <c r="U10" i="73"/>
  <c r="W9" i="73"/>
  <c r="W10" i="73"/>
  <c r="W11" i="73"/>
  <c r="W14" i="73"/>
  <c r="W15" i="73"/>
  <c r="W16" i="73"/>
  <c r="W17" i="73"/>
  <c r="W18" i="73"/>
  <c r="W19" i="73"/>
  <c r="W20" i="73"/>
  <c r="W21" i="73"/>
  <c r="W22" i="73"/>
  <c r="W23" i="73"/>
  <c r="W24" i="73"/>
  <c r="W25" i="73"/>
  <c r="W26" i="73"/>
  <c r="W27" i="73"/>
  <c r="W28" i="73"/>
  <c r="W29" i="73"/>
  <c r="W30" i="73"/>
  <c r="W31" i="73"/>
  <c r="W32" i="73"/>
  <c r="W33" i="73"/>
  <c r="W34" i="73"/>
  <c r="W35" i="73"/>
  <c r="W36" i="73"/>
  <c r="W37" i="73"/>
  <c r="W38" i="73"/>
  <c r="W8" i="73"/>
  <c r="O9" i="73"/>
  <c r="O10" i="73"/>
  <c r="O11" i="73"/>
  <c r="O12" i="73"/>
  <c r="O13" i="73"/>
  <c r="O14" i="73"/>
  <c r="O15" i="73"/>
  <c r="O16" i="73"/>
  <c r="O17" i="73"/>
  <c r="O18" i="73"/>
  <c r="O19" i="73"/>
  <c r="O20" i="73"/>
  <c r="O21" i="73"/>
  <c r="O22" i="73"/>
  <c r="O23" i="73"/>
  <c r="O24" i="73"/>
  <c r="O25" i="73"/>
  <c r="O26" i="73"/>
  <c r="O27" i="73"/>
  <c r="O28" i="73"/>
  <c r="O29" i="73"/>
  <c r="O30" i="73"/>
  <c r="O31" i="73"/>
  <c r="O32" i="73"/>
  <c r="O33" i="73"/>
  <c r="O34" i="73"/>
  <c r="O35" i="73"/>
  <c r="O36" i="73"/>
  <c r="O37" i="73"/>
  <c r="O38" i="73"/>
  <c r="O8" i="73"/>
  <c r="U24" i="71" l="1"/>
  <c r="U23" i="71"/>
  <c r="U22" i="71"/>
  <c r="U21" i="71"/>
  <c r="U20" i="71"/>
  <c r="U17" i="71"/>
  <c r="U16" i="71"/>
  <c r="U15" i="71"/>
  <c r="U14" i="71"/>
  <c r="U13" i="71"/>
  <c r="U10" i="71"/>
  <c r="U9" i="71"/>
  <c r="Y10" i="71"/>
  <c r="Y11" i="71"/>
  <c r="Y12" i="71"/>
  <c r="Y13" i="71"/>
  <c r="Y14" i="71"/>
  <c r="Y15" i="71"/>
  <c r="Y16" i="71"/>
  <c r="Y17" i="71"/>
  <c r="Y18" i="71"/>
  <c r="Y19" i="71"/>
  <c r="Y20" i="71"/>
  <c r="Y21" i="71"/>
  <c r="Y22" i="71"/>
  <c r="Y23" i="71"/>
  <c r="Y24" i="71"/>
  <c r="Y25" i="71"/>
  <c r="Y26" i="71"/>
  <c r="Y27" i="71"/>
  <c r="Y28" i="71"/>
  <c r="Y29" i="71"/>
  <c r="Y30" i="71"/>
  <c r="Y31" i="71"/>
  <c r="Y32" i="71"/>
  <c r="Y33" i="71"/>
  <c r="Y34" i="71"/>
  <c r="Y35" i="71"/>
  <c r="Y36" i="71"/>
  <c r="Y37" i="71"/>
  <c r="Y38" i="71"/>
  <c r="Y9" i="71"/>
  <c r="Y8" i="71"/>
  <c r="Q36" i="71"/>
  <c r="Q37" i="71"/>
  <c r="Q38" i="71"/>
  <c r="Q9" i="71"/>
  <c r="Q10" i="71"/>
  <c r="Q11" i="71"/>
  <c r="Q12" i="71"/>
  <c r="Q13" i="71"/>
  <c r="Q14" i="71"/>
  <c r="Q15" i="71"/>
  <c r="Q16" i="71"/>
  <c r="Q17" i="71"/>
  <c r="Q18" i="71"/>
  <c r="Q19" i="71"/>
  <c r="Q20" i="71"/>
  <c r="Q21" i="71"/>
  <c r="Q22" i="71"/>
  <c r="Q23" i="71"/>
  <c r="Q24" i="71"/>
  <c r="Q25" i="71"/>
  <c r="Q26" i="71"/>
  <c r="Q27" i="71"/>
  <c r="Q28" i="71"/>
  <c r="Q29" i="71"/>
  <c r="Q30" i="71"/>
  <c r="Q31" i="71"/>
  <c r="Q32" i="71"/>
  <c r="Q33" i="71"/>
  <c r="Q34" i="71"/>
  <c r="Q35" i="71"/>
  <c r="Q8" i="71"/>
  <c r="I29" i="71"/>
  <c r="E16" i="71"/>
  <c r="E25" i="71"/>
  <c r="E26" i="71"/>
  <c r="U38" i="68" l="1"/>
  <c r="U37" i="68"/>
  <c r="U36" i="68"/>
  <c r="U35" i="68"/>
  <c r="U32" i="68"/>
  <c r="U31" i="68"/>
  <c r="U30" i="68"/>
  <c r="U29" i="68"/>
  <c r="U28" i="68"/>
  <c r="U25" i="68"/>
  <c r="U22" i="68"/>
  <c r="U21" i="68"/>
  <c r="U18" i="68"/>
  <c r="U17" i="68"/>
  <c r="U16" i="68"/>
  <c r="U15" i="68"/>
  <c r="U14" i="68"/>
  <c r="U12" i="68"/>
  <c r="U11" i="68"/>
  <c r="U10" i="68"/>
  <c r="U9" i="68"/>
  <c r="U8" i="68"/>
  <c r="Y9" i="68"/>
  <c r="Y10" i="68"/>
  <c r="Y11" i="68"/>
  <c r="Y12" i="68"/>
  <c r="Y13" i="68"/>
  <c r="Y14" i="68"/>
  <c r="Y15" i="68"/>
  <c r="Y16" i="68"/>
  <c r="Y17" i="68"/>
  <c r="Y18" i="68"/>
  <c r="Y19" i="68"/>
  <c r="Y20" i="68"/>
  <c r="Y21" i="68"/>
  <c r="Y22" i="68"/>
  <c r="Y23" i="68"/>
  <c r="Y24" i="68"/>
  <c r="Y25" i="68"/>
  <c r="Y26" i="68"/>
  <c r="Y27" i="68"/>
  <c r="Y28" i="68"/>
  <c r="Y29" i="68"/>
  <c r="Y30" i="68"/>
  <c r="Y31" i="68"/>
  <c r="Y32" i="68"/>
  <c r="Y33" i="68"/>
  <c r="Y34" i="68"/>
  <c r="Y35" i="68"/>
  <c r="Y36" i="68"/>
  <c r="Y37" i="68"/>
  <c r="Y38" i="68"/>
  <c r="Y8" i="68"/>
  <c r="Q9" i="68"/>
  <c r="Q10" i="68"/>
  <c r="Q11" i="68"/>
  <c r="Q12" i="68"/>
  <c r="Q13" i="68"/>
  <c r="Q14" i="68"/>
  <c r="Q15" i="68"/>
  <c r="Q16" i="68"/>
  <c r="Q17" i="68"/>
  <c r="Q18" i="68"/>
  <c r="Q19" i="68"/>
  <c r="Q20" i="68"/>
  <c r="Q21" i="68"/>
  <c r="Q22" i="68"/>
  <c r="Q23" i="68"/>
  <c r="Q24" i="68"/>
  <c r="Q25" i="68"/>
  <c r="Q26" i="68"/>
  <c r="Q27" i="68"/>
  <c r="Q28" i="68"/>
  <c r="Q29" i="68"/>
  <c r="Q30" i="68"/>
  <c r="Q31" i="68"/>
  <c r="Q32" i="68"/>
  <c r="Q33" i="68"/>
  <c r="Q34" i="68"/>
  <c r="Q35" i="68"/>
  <c r="Q36" i="68"/>
  <c r="Q37" i="68"/>
  <c r="Q38" i="68"/>
  <c r="Q8" i="68"/>
  <c r="I38" i="68"/>
  <c r="I9" i="68"/>
  <c r="I10" i="68"/>
  <c r="I11" i="68"/>
  <c r="I12" i="68"/>
  <c r="I13" i="68"/>
  <c r="I14" i="68"/>
  <c r="I15" i="68"/>
  <c r="I16" i="68"/>
  <c r="I17" i="68"/>
  <c r="I18" i="68"/>
  <c r="I19" i="68"/>
  <c r="I20" i="68"/>
  <c r="I21" i="68"/>
  <c r="I22" i="68"/>
  <c r="I23" i="68"/>
  <c r="I24" i="68"/>
  <c r="I25" i="68"/>
  <c r="I26" i="68"/>
  <c r="I27" i="68"/>
  <c r="I28" i="68"/>
  <c r="I29" i="68"/>
  <c r="I30" i="68"/>
  <c r="I31" i="68"/>
  <c r="I32" i="68"/>
  <c r="I33" i="68"/>
  <c r="I34" i="68"/>
  <c r="I35" i="68"/>
  <c r="I36" i="68"/>
  <c r="I37" i="68"/>
  <c r="I8" i="68"/>
  <c r="E9" i="68"/>
  <c r="E10" i="68"/>
  <c r="E11" i="68"/>
  <c r="E12" i="68"/>
  <c r="E13" i="68"/>
  <c r="E14" i="68"/>
  <c r="E15" i="68"/>
  <c r="E16" i="68"/>
  <c r="E17" i="68"/>
  <c r="E18" i="68"/>
  <c r="E19" i="68"/>
  <c r="E20" i="68"/>
  <c r="E21" i="68"/>
  <c r="E22" i="68"/>
  <c r="E23" i="68"/>
  <c r="E24" i="68"/>
  <c r="E25" i="68"/>
  <c r="E26" i="68"/>
  <c r="E27" i="68"/>
  <c r="E28" i="68"/>
  <c r="E29" i="68"/>
  <c r="E30" i="68"/>
  <c r="E31" i="68"/>
  <c r="E32" i="68"/>
  <c r="E33" i="68"/>
  <c r="E34" i="68"/>
  <c r="E35" i="68"/>
  <c r="E36" i="68"/>
  <c r="E37" i="68"/>
  <c r="E38" i="68"/>
  <c r="E8" i="68"/>
  <c r="M9" i="68"/>
  <c r="M10" i="68"/>
  <c r="M11" i="68"/>
  <c r="M12" i="68"/>
  <c r="M13" i="68"/>
  <c r="M14" i="68"/>
  <c r="M15" i="68"/>
  <c r="M16" i="68"/>
  <c r="M17" i="68"/>
  <c r="M18" i="68"/>
  <c r="M19" i="68"/>
  <c r="M20" i="68"/>
  <c r="M21" i="68"/>
  <c r="M22" i="68"/>
  <c r="M23" i="68"/>
  <c r="M24" i="68"/>
  <c r="M25" i="68"/>
  <c r="M26" i="68"/>
  <c r="M27" i="68"/>
  <c r="M28" i="68"/>
  <c r="M29" i="68"/>
  <c r="M30" i="68"/>
  <c r="M31" i="68"/>
  <c r="M32" i="68"/>
  <c r="M33" i="68"/>
  <c r="M34" i="68"/>
  <c r="M35" i="68"/>
  <c r="M36" i="68"/>
  <c r="M37" i="68"/>
  <c r="M38" i="68"/>
  <c r="M8" i="68"/>
  <c r="Y10" i="69" l="1"/>
  <c r="Y11" i="69"/>
  <c r="Y12" i="69"/>
  <c r="Y13" i="69"/>
  <c r="Y14" i="69"/>
  <c r="Y15" i="69"/>
  <c r="Y16" i="69"/>
  <c r="Y17" i="69"/>
  <c r="Y18" i="69"/>
  <c r="Y19" i="69"/>
  <c r="Y20" i="69"/>
  <c r="Y21" i="69"/>
  <c r="Y22" i="69"/>
  <c r="Y23" i="69"/>
  <c r="Y24" i="69"/>
  <c r="Y25" i="69"/>
  <c r="Y26" i="69"/>
  <c r="Y27" i="69"/>
  <c r="Y28" i="69"/>
  <c r="Y29" i="69"/>
  <c r="Y30" i="69"/>
  <c r="Y31" i="69"/>
  <c r="Y32" i="69"/>
  <c r="Y33" i="69"/>
  <c r="Y34" i="69"/>
  <c r="Y35" i="69"/>
  <c r="Y36" i="69"/>
  <c r="Y37" i="69"/>
  <c r="Y9" i="69"/>
  <c r="Y8" i="69"/>
  <c r="U34" i="69"/>
  <c r="U33" i="69"/>
  <c r="U32" i="69"/>
  <c r="U31" i="69"/>
  <c r="U30" i="69"/>
  <c r="U27" i="69"/>
  <c r="U26" i="69"/>
  <c r="U25" i="69"/>
  <c r="U20" i="69"/>
  <c r="U19" i="69"/>
  <c r="U18" i="69"/>
  <c r="U17" i="69"/>
  <c r="U16" i="69"/>
  <c r="U13" i="69"/>
  <c r="U12" i="69"/>
  <c r="U11" i="69"/>
  <c r="U10" i="69"/>
  <c r="U9" i="69"/>
  <c r="I10" i="69"/>
  <c r="I11" i="69"/>
  <c r="I12" i="69"/>
  <c r="I13" i="69"/>
  <c r="I14" i="69"/>
  <c r="I15" i="69"/>
  <c r="I16" i="69"/>
  <c r="I17" i="69"/>
  <c r="I18" i="69"/>
  <c r="I19" i="69"/>
  <c r="I20" i="69"/>
  <c r="I21" i="69"/>
  <c r="I22" i="69"/>
  <c r="I23" i="69"/>
  <c r="I24" i="69"/>
  <c r="I25" i="69"/>
  <c r="I26" i="69"/>
  <c r="I27" i="69"/>
  <c r="I28" i="69"/>
  <c r="I29" i="69"/>
  <c r="I30" i="69"/>
  <c r="I31" i="69"/>
  <c r="I32" i="69"/>
  <c r="I33" i="69"/>
  <c r="I34" i="69"/>
  <c r="I35" i="69"/>
  <c r="I36" i="69"/>
  <c r="I37" i="69"/>
  <c r="I9" i="69"/>
  <c r="I8" i="69"/>
  <c r="Q10" i="69" l="1"/>
  <c r="Q11" i="69"/>
  <c r="Q12" i="69"/>
  <c r="Q13" i="69"/>
  <c r="Q14" i="69"/>
  <c r="Q15" i="69"/>
  <c r="Q16" i="69"/>
  <c r="Q17" i="69"/>
  <c r="Q18" i="69"/>
  <c r="Q19" i="69"/>
  <c r="Q20" i="69"/>
  <c r="Q21" i="69"/>
  <c r="Q22" i="69"/>
  <c r="Q23" i="69"/>
  <c r="Q24" i="69"/>
  <c r="Q25" i="69"/>
  <c r="Q26" i="69"/>
  <c r="Q28" i="69"/>
  <c r="Q29" i="69"/>
  <c r="Q30" i="69"/>
  <c r="Q31" i="69"/>
  <c r="Q32" i="69"/>
  <c r="Q33" i="69"/>
  <c r="Q34" i="69"/>
  <c r="Q35" i="69"/>
  <c r="Q36" i="69"/>
  <c r="Q37" i="69"/>
  <c r="Q9" i="69"/>
  <c r="Q8" i="69"/>
  <c r="E10" i="69"/>
  <c r="E11" i="69"/>
  <c r="E12" i="69"/>
  <c r="E13" i="69"/>
  <c r="E14" i="69"/>
  <c r="E15" i="69"/>
  <c r="E16" i="69"/>
  <c r="E17" i="69"/>
  <c r="E18" i="69"/>
  <c r="E19" i="69"/>
  <c r="E20" i="69"/>
  <c r="E21" i="69"/>
  <c r="E22" i="69"/>
  <c r="E23" i="69"/>
  <c r="E24" i="69"/>
  <c r="E25" i="69"/>
  <c r="E26" i="69"/>
  <c r="E27" i="69"/>
  <c r="E28" i="69"/>
  <c r="E29" i="69"/>
  <c r="E30" i="69"/>
  <c r="E31" i="69"/>
  <c r="E32" i="69"/>
  <c r="E33" i="69"/>
  <c r="E34" i="69"/>
  <c r="E35" i="69"/>
  <c r="E36" i="69"/>
  <c r="E37" i="69"/>
  <c r="E9" i="69"/>
  <c r="E11" i="70" l="1"/>
  <c r="Q20" i="2"/>
  <c r="Q21" i="2"/>
  <c r="I14" i="2"/>
  <c r="E14" i="2"/>
  <c r="E35" i="2"/>
  <c r="Z32" i="69" l="1"/>
  <c r="Z31" i="69"/>
  <c r="Z30" i="69"/>
  <c r="Z21" i="69"/>
  <c r="Z20" i="69"/>
  <c r="Z19" i="69"/>
  <c r="Z14" i="69"/>
  <c r="Z13" i="69"/>
  <c r="Z12" i="69"/>
  <c r="Z11" i="69"/>
  <c r="R34" i="69"/>
  <c r="R33" i="69"/>
  <c r="R32" i="69"/>
  <c r="R31" i="69"/>
  <c r="R30" i="69"/>
  <c r="R25" i="69"/>
  <c r="R24" i="69"/>
  <c r="R19" i="69"/>
  <c r="R17" i="69"/>
  <c r="R16" i="69"/>
  <c r="R14" i="69"/>
  <c r="R13" i="69"/>
  <c r="R12" i="69"/>
  <c r="J37" i="69"/>
  <c r="J35" i="69"/>
  <c r="J33" i="69"/>
  <c r="J32" i="69"/>
  <c r="J31" i="69"/>
  <c r="J26" i="69"/>
  <c r="J25" i="69"/>
  <c r="J24" i="69"/>
  <c r="J20" i="69"/>
  <c r="J13" i="69"/>
  <c r="J11" i="69"/>
  <c r="F37" i="69"/>
  <c r="F35" i="69"/>
  <c r="AH32" i="69"/>
  <c r="AP32" i="69" s="1"/>
  <c r="AH31" i="69"/>
  <c r="AP31" i="69" s="1"/>
  <c r="F30" i="69"/>
  <c r="AH27" i="69"/>
  <c r="AP27" i="69" s="1"/>
  <c r="AH26" i="69"/>
  <c r="AP26" i="69" s="1"/>
  <c r="F25" i="69"/>
  <c r="F20" i="69"/>
  <c r="AH18" i="69"/>
  <c r="AP18" i="69" s="1"/>
  <c r="F13" i="69"/>
  <c r="F12" i="69"/>
  <c r="F11" i="69"/>
  <c r="AH9" i="69"/>
  <c r="AP9" i="69" s="1"/>
  <c r="R37" i="70"/>
  <c r="R31" i="70"/>
  <c r="R30" i="70"/>
  <c r="R29" i="70"/>
  <c r="AH28" i="70"/>
  <c r="AP28" i="70" s="1"/>
  <c r="R22" i="70"/>
  <c r="R21" i="70"/>
  <c r="R20" i="70"/>
  <c r="R19" i="70"/>
  <c r="R17" i="70"/>
  <c r="R13" i="70"/>
  <c r="R9" i="70"/>
  <c r="R8" i="70"/>
  <c r="AH34" i="70"/>
  <c r="AP34" i="70" s="1"/>
  <c r="J30" i="70"/>
  <c r="J29" i="70"/>
  <c r="AH23" i="70"/>
  <c r="AP23" i="70" s="1"/>
  <c r="J19" i="70"/>
  <c r="J13" i="70"/>
  <c r="J9" i="70"/>
  <c r="I41" i="70"/>
  <c r="F29" i="70"/>
  <c r="AH16" i="70"/>
  <c r="AP16" i="70" s="1"/>
  <c r="AH15" i="70"/>
  <c r="AP15" i="70" s="1"/>
  <c r="AH14" i="70"/>
  <c r="AP14" i="70" s="1"/>
  <c r="J12" i="70"/>
  <c r="J11" i="70"/>
  <c r="J10" i="70"/>
  <c r="AH32" i="70"/>
  <c r="AP32" i="70" s="1"/>
  <c r="F20" i="70"/>
  <c r="E41" i="70"/>
  <c r="Y41" i="2"/>
  <c r="Q41" i="2"/>
  <c r="I41" i="2"/>
  <c r="E41" i="2"/>
  <c r="AH14" i="2"/>
  <c r="AH16" i="2"/>
  <c r="AH21" i="2"/>
  <c r="AH37" i="2"/>
  <c r="AG12" i="69"/>
  <c r="AN12" i="69" s="1"/>
  <c r="AG13" i="69"/>
  <c r="AN13" i="69" s="1"/>
  <c r="AG11" i="69"/>
  <c r="AN11" i="69" s="1"/>
  <c r="Y41" i="76"/>
  <c r="X41" i="76"/>
  <c r="W41" i="76"/>
  <c r="U41" i="76"/>
  <c r="T41" i="76"/>
  <c r="S41" i="76"/>
  <c r="Q41" i="76"/>
  <c r="P41" i="76"/>
  <c r="O41" i="76"/>
  <c r="M41" i="76"/>
  <c r="L41" i="76"/>
  <c r="K41" i="76"/>
  <c r="I41" i="76"/>
  <c r="H41" i="76"/>
  <c r="G41" i="76"/>
  <c r="E41" i="76"/>
  <c r="D41" i="76"/>
  <c r="C41" i="76"/>
  <c r="Y41" i="75"/>
  <c r="X41" i="75"/>
  <c r="W41" i="75"/>
  <c r="U41" i="75"/>
  <c r="T41" i="75"/>
  <c r="S41" i="75"/>
  <c r="Q41" i="75"/>
  <c r="P41" i="75"/>
  <c r="O41" i="75"/>
  <c r="M41" i="75"/>
  <c r="L41" i="75"/>
  <c r="K41" i="75"/>
  <c r="I41" i="75"/>
  <c r="H41" i="75"/>
  <c r="G41" i="75"/>
  <c r="E41" i="75"/>
  <c r="D41" i="75"/>
  <c r="C41" i="75"/>
  <c r="Y41" i="74"/>
  <c r="X41" i="74"/>
  <c r="W41" i="74"/>
  <c r="U41" i="74"/>
  <c r="T41" i="74"/>
  <c r="S41" i="74"/>
  <c r="Q41" i="74"/>
  <c r="P41" i="74"/>
  <c r="O41" i="74"/>
  <c r="M41" i="74"/>
  <c r="L41" i="74"/>
  <c r="K41" i="74"/>
  <c r="I41" i="74"/>
  <c r="H41" i="74"/>
  <c r="G41" i="74"/>
  <c r="E41" i="74"/>
  <c r="D41" i="74"/>
  <c r="C41" i="74"/>
  <c r="Y41" i="73"/>
  <c r="X41" i="73"/>
  <c r="W41" i="73"/>
  <c r="U41" i="73"/>
  <c r="T41" i="73"/>
  <c r="S41" i="73"/>
  <c r="Q41" i="73"/>
  <c r="P41" i="73"/>
  <c r="O41" i="73"/>
  <c r="M41" i="73"/>
  <c r="L41" i="73"/>
  <c r="K41" i="73"/>
  <c r="I41" i="73"/>
  <c r="H41" i="73"/>
  <c r="G41" i="73"/>
  <c r="E41" i="73"/>
  <c r="D41" i="73"/>
  <c r="C41" i="73"/>
  <c r="Y41" i="72"/>
  <c r="X41" i="72"/>
  <c r="W41" i="72"/>
  <c r="U41" i="72"/>
  <c r="T41" i="72"/>
  <c r="S41" i="72"/>
  <c r="Q41" i="72"/>
  <c r="P41" i="72"/>
  <c r="O41" i="72"/>
  <c r="M41" i="72"/>
  <c r="L41" i="72"/>
  <c r="K41" i="72"/>
  <c r="I41" i="72"/>
  <c r="H41" i="72"/>
  <c r="G41" i="72"/>
  <c r="E41" i="72"/>
  <c r="D41" i="72"/>
  <c r="C41" i="72"/>
  <c r="Y41" i="71"/>
  <c r="X41" i="71"/>
  <c r="W41" i="71"/>
  <c r="U41" i="71"/>
  <c r="T41" i="71"/>
  <c r="S41" i="71"/>
  <c r="Q41" i="71"/>
  <c r="P41" i="71"/>
  <c r="O41" i="71"/>
  <c r="M41" i="71"/>
  <c r="L41" i="71"/>
  <c r="K41" i="71"/>
  <c r="I41" i="71"/>
  <c r="H41" i="71"/>
  <c r="G41" i="71"/>
  <c r="E41" i="71"/>
  <c r="D41" i="71"/>
  <c r="C41" i="71"/>
  <c r="Y41" i="66"/>
  <c r="X41" i="66"/>
  <c r="W41" i="66"/>
  <c r="U41" i="66"/>
  <c r="T41" i="66"/>
  <c r="S41" i="66"/>
  <c r="Q41" i="66"/>
  <c r="P41" i="66"/>
  <c r="O41" i="66"/>
  <c r="M41" i="66"/>
  <c r="L41" i="66"/>
  <c r="K41" i="66"/>
  <c r="I41" i="66"/>
  <c r="H41" i="66"/>
  <c r="G41" i="66"/>
  <c r="E41" i="66"/>
  <c r="D41" i="66"/>
  <c r="C41" i="66"/>
  <c r="Y41" i="67"/>
  <c r="X41" i="67"/>
  <c r="W41" i="67"/>
  <c r="U41" i="67"/>
  <c r="T41" i="67"/>
  <c r="S41" i="67"/>
  <c r="Q41" i="67"/>
  <c r="P41" i="67"/>
  <c r="O41" i="67"/>
  <c r="M41" i="67"/>
  <c r="L41" i="67"/>
  <c r="K41" i="67"/>
  <c r="I41" i="67"/>
  <c r="H41" i="67"/>
  <c r="G41" i="67"/>
  <c r="E41" i="67"/>
  <c r="D41" i="67"/>
  <c r="C41" i="67"/>
  <c r="Y41" i="68"/>
  <c r="X41" i="68"/>
  <c r="W41" i="68"/>
  <c r="U41" i="68"/>
  <c r="T41" i="68"/>
  <c r="S41" i="68"/>
  <c r="Q41" i="68"/>
  <c r="P41" i="68"/>
  <c r="O41" i="68"/>
  <c r="M41" i="68"/>
  <c r="L41" i="68"/>
  <c r="K41" i="68"/>
  <c r="I41" i="68"/>
  <c r="H41" i="68"/>
  <c r="G41" i="68"/>
  <c r="E41" i="68"/>
  <c r="D41" i="68"/>
  <c r="C41" i="68"/>
  <c r="X41" i="69"/>
  <c r="W41" i="69"/>
  <c r="U41" i="69"/>
  <c r="T41" i="69"/>
  <c r="S41" i="69"/>
  <c r="P41" i="69"/>
  <c r="O41" i="69"/>
  <c r="M41" i="69"/>
  <c r="L41" i="69"/>
  <c r="K41" i="69"/>
  <c r="H41" i="69"/>
  <c r="G41" i="69"/>
  <c r="D41" i="69"/>
  <c r="C41" i="69"/>
  <c r="Y41" i="70"/>
  <c r="X41" i="70"/>
  <c r="W41" i="70"/>
  <c r="U41" i="70"/>
  <c r="T41" i="70"/>
  <c r="S41" i="70"/>
  <c r="P41" i="70"/>
  <c r="O41" i="70"/>
  <c r="M41" i="70"/>
  <c r="L41" i="70"/>
  <c r="K41" i="70"/>
  <c r="H41" i="70"/>
  <c r="G41" i="70"/>
  <c r="D41" i="70"/>
  <c r="C41" i="70"/>
  <c r="X41" i="2"/>
  <c r="W41" i="2"/>
  <c r="U41" i="2"/>
  <c r="T41" i="2"/>
  <c r="S41" i="2"/>
  <c r="P41" i="2"/>
  <c r="O41" i="2"/>
  <c r="M41" i="2"/>
  <c r="L41" i="2"/>
  <c r="K41" i="2"/>
  <c r="H41" i="2"/>
  <c r="G41" i="2"/>
  <c r="D41" i="2"/>
  <c r="C41" i="2"/>
  <c r="Y39" i="70"/>
  <c r="X39" i="70"/>
  <c r="X40" i="70" s="1"/>
  <c r="Y9" i="1" s="1"/>
  <c r="W39" i="70"/>
  <c r="U39" i="70"/>
  <c r="T39" i="70"/>
  <c r="S39" i="70"/>
  <c r="S40" i="70" s="1"/>
  <c r="T9" i="1" s="1"/>
  <c r="P39" i="70"/>
  <c r="P40" i="70" s="1"/>
  <c r="Q9" i="1" s="1"/>
  <c r="O39" i="70"/>
  <c r="O40" i="70" s="1"/>
  <c r="P9" i="1" s="1"/>
  <c r="M39" i="70"/>
  <c r="L39" i="70"/>
  <c r="L40" i="70" s="1"/>
  <c r="M9" i="1" s="1"/>
  <c r="K39" i="70"/>
  <c r="H39" i="70"/>
  <c r="G39" i="70"/>
  <c r="G40" i="70" s="1"/>
  <c r="H9" i="1" s="1"/>
  <c r="D39" i="70"/>
  <c r="D40" i="70" s="1"/>
  <c r="E9" i="1" s="1"/>
  <c r="C39" i="70"/>
  <c r="C40" i="70" s="1"/>
  <c r="D9" i="1" s="1"/>
  <c r="F19" i="1"/>
  <c r="B2" i="76"/>
  <c r="B1" i="76"/>
  <c r="Y39" i="76"/>
  <c r="X39" i="76"/>
  <c r="W39" i="76"/>
  <c r="U39" i="76"/>
  <c r="T39" i="76"/>
  <c r="S39" i="76"/>
  <c r="S40" i="76" s="1"/>
  <c r="T19" i="1" s="1"/>
  <c r="Q39" i="76"/>
  <c r="Q40" i="76" s="1"/>
  <c r="R19" i="1" s="1"/>
  <c r="P39" i="76"/>
  <c r="P40" i="76" s="1"/>
  <c r="Q19" i="1" s="1"/>
  <c r="O39" i="76"/>
  <c r="O40" i="76" s="1"/>
  <c r="P19" i="1" s="1"/>
  <c r="M39" i="76"/>
  <c r="M40" i="76" s="1"/>
  <c r="N19" i="1" s="1"/>
  <c r="L39" i="76"/>
  <c r="L40" i="76" s="1"/>
  <c r="M19" i="1" s="1"/>
  <c r="K39" i="76"/>
  <c r="I39" i="76"/>
  <c r="H39" i="76"/>
  <c r="G39" i="76"/>
  <c r="G40" i="76" s="1"/>
  <c r="H19" i="1" s="1"/>
  <c r="E39" i="76"/>
  <c r="E40" i="76" s="1"/>
  <c r="D39" i="76"/>
  <c r="D40" i="76" s="1"/>
  <c r="E19" i="1" s="1"/>
  <c r="C39" i="76"/>
  <c r="B2" i="75"/>
  <c r="B1" i="75"/>
  <c r="Y39" i="75"/>
  <c r="X39" i="75"/>
  <c r="W39" i="75"/>
  <c r="U39" i="75"/>
  <c r="T39" i="75"/>
  <c r="S39" i="75"/>
  <c r="S40" i="75" s="1"/>
  <c r="T18" i="1" s="1"/>
  <c r="Q39" i="75"/>
  <c r="Q40" i="75" s="1"/>
  <c r="R18" i="1" s="1"/>
  <c r="P39" i="75"/>
  <c r="P40" i="75" s="1"/>
  <c r="Q18" i="1" s="1"/>
  <c r="O39" i="75"/>
  <c r="O40" i="75" s="1"/>
  <c r="P18" i="1" s="1"/>
  <c r="M39" i="75"/>
  <c r="L39" i="75"/>
  <c r="L40" i="75" s="1"/>
  <c r="M18" i="1" s="1"/>
  <c r="K39" i="75"/>
  <c r="K40" i="75" s="1"/>
  <c r="L18" i="1" s="1"/>
  <c r="I39" i="75"/>
  <c r="H39" i="75"/>
  <c r="G39" i="75"/>
  <c r="G40" i="75" s="1"/>
  <c r="H18" i="1" s="1"/>
  <c r="E39" i="75"/>
  <c r="E40" i="75" s="1"/>
  <c r="F18" i="1" s="1"/>
  <c r="D39" i="75"/>
  <c r="D40" i="75" s="1"/>
  <c r="E18" i="1" s="1"/>
  <c r="C39" i="75"/>
  <c r="C40" i="75" s="1"/>
  <c r="D18" i="1" s="1"/>
  <c r="B2" i="74"/>
  <c r="B1" i="74"/>
  <c r="Y39" i="74"/>
  <c r="Y40" i="74" s="1"/>
  <c r="Z17" i="1" s="1"/>
  <c r="X39" i="74"/>
  <c r="X40" i="74" s="1"/>
  <c r="Y17" i="1" s="1"/>
  <c r="W39" i="74"/>
  <c r="U39" i="74"/>
  <c r="T39" i="74"/>
  <c r="S39" i="74"/>
  <c r="S40" i="74" s="1"/>
  <c r="T17" i="1" s="1"/>
  <c r="Q39" i="74"/>
  <c r="Q40" i="74" s="1"/>
  <c r="R17" i="1" s="1"/>
  <c r="P39" i="74"/>
  <c r="P40" i="74" s="1"/>
  <c r="Q17" i="1" s="1"/>
  <c r="O39" i="74"/>
  <c r="O40" i="74" s="1"/>
  <c r="P17" i="1" s="1"/>
  <c r="M39" i="74"/>
  <c r="M40" i="74" s="1"/>
  <c r="N17" i="1" s="1"/>
  <c r="L39" i="74"/>
  <c r="L40" i="74" s="1"/>
  <c r="M17" i="1" s="1"/>
  <c r="K39" i="74"/>
  <c r="I39" i="74"/>
  <c r="H39" i="74"/>
  <c r="H40" i="74" s="1"/>
  <c r="I17" i="1" s="1"/>
  <c r="G39" i="74"/>
  <c r="G40" i="74" s="1"/>
  <c r="H17" i="1" s="1"/>
  <c r="E39" i="74"/>
  <c r="E40" i="74" s="1"/>
  <c r="F17" i="1" s="1"/>
  <c r="D39" i="74"/>
  <c r="D40" i="74" s="1"/>
  <c r="E17" i="1" s="1"/>
  <c r="C39" i="74"/>
  <c r="C40" i="74" s="1"/>
  <c r="D17" i="1" s="1"/>
  <c r="B2" i="73"/>
  <c r="B1" i="73"/>
  <c r="Y39" i="73"/>
  <c r="X39" i="73"/>
  <c r="W39" i="73"/>
  <c r="U39" i="73"/>
  <c r="T39" i="73"/>
  <c r="S39" i="73"/>
  <c r="S40" i="73" s="1"/>
  <c r="T16" i="1" s="1"/>
  <c r="Q39" i="73"/>
  <c r="Q40" i="73" s="1"/>
  <c r="R16" i="1" s="1"/>
  <c r="P39" i="73"/>
  <c r="P40" i="73" s="1"/>
  <c r="Q16" i="1" s="1"/>
  <c r="O39" i="73"/>
  <c r="O40" i="73" s="1"/>
  <c r="P16" i="1" s="1"/>
  <c r="M39" i="73"/>
  <c r="L39" i="73"/>
  <c r="L40" i="73" s="1"/>
  <c r="M16" i="1" s="1"/>
  <c r="K39" i="73"/>
  <c r="K40" i="73" s="1"/>
  <c r="L16" i="1" s="1"/>
  <c r="I39" i="73"/>
  <c r="H39" i="73"/>
  <c r="G39" i="73"/>
  <c r="G40" i="73" s="1"/>
  <c r="H16" i="1" s="1"/>
  <c r="E39" i="73"/>
  <c r="E40" i="73" s="1"/>
  <c r="F16" i="1" s="1"/>
  <c r="D39" i="73"/>
  <c r="D40" i="73" s="1"/>
  <c r="E16" i="1" s="1"/>
  <c r="C39" i="73"/>
  <c r="C40" i="73" s="1"/>
  <c r="D16" i="1" s="1"/>
  <c r="B2" i="72"/>
  <c r="B1" i="72"/>
  <c r="Y39" i="72"/>
  <c r="Y40" i="72" s="1"/>
  <c r="Z15" i="1" s="1"/>
  <c r="X39" i="72"/>
  <c r="W39" i="72"/>
  <c r="U39" i="72"/>
  <c r="T39" i="72"/>
  <c r="T40" i="72" s="1"/>
  <c r="U15" i="1" s="1"/>
  <c r="S39" i="72"/>
  <c r="Q39" i="72"/>
  <c r="Q40" i="72" s="1"/>
  <c r="R15" i="1" s="1"/>
  <c r="P39" i="72"/>
  <c r="P40" i="72" s="1"/>
  <c r="Q15" i="1" s="1"/>
  <c r="O39" i="72"/>
  <c r="O40" i="72" s="1"/>
  <c r="P15" i="1" s="1"/>
  <c r="M39" i="72"/>
  <c r="M40" i="72" s="1"/>
  <c r="N15" i="1" s="1"/>
  <c r="L39" i="72"/>
  <c r="K39" i="72"/>
  <c r="K40" i="72" s="1"/>
  <c r="L15" i="1" s="1"/>
  <c r="I39" i="72"/>
  <c r="H39" i="72"/>
  <c r="G39" i="72"/>
  <c r="E39" i="72"/>
  <c r="E40" i="72" s="1"/>
  <c r="F15" i="1" s="1"/>
  <c r="D39" i="72"/>
  <c r="D40" i="72" s="1"/>
  <c r="E15" i="1" s="1"/>
  <c r="C39" i="72"/>
  <c r="C40" i="72" s="1"/>
  <c r="D15" i="1" s="1"/>
  <c r="B2" i="71"/>
  <c r="B1" i="71"/>
  <c r="Y39" i="71"/>
  <c r="Y40" i="71" s="1"/>
  <c r="Z14" i="1" s="1"/>
  <c r="X39" i="71"/>
  <c r="X40" i="71" s="1"/>
  <c r="Y14" i="1" s="1"/>
  <c r="W39" i="71"/>
  <c r="U39" i="71"/>
  <c r="T39" i="71"/>
  <c r="S39" i="71"/>
  <c r="S40" i="71" s="1"/>
  <c r="T14" i="1" s="1"/>
  <c r="Q39" i="71"/>
  <c r="P39" i="71"/>
  <c r="P40" i="71" s="1"/>
  <c r="Q14" i="1" s="1"/>
  <c r="O39" i="71"/>
  <c r="O40" i="71" s="1"/>
  <c r="P14" i="1" s="1"/>
  <c r="M39" i="71"/>
  <c r="M40" i="71" s="1"/>
  <c r="N14" i="1" s="1"/>
  <c r="L39" i="71"/>
  <c r="L40" i="71" s="1"/>
  <c r="M14" i="1" s="1"/>
  <c r="K39" i="71"/>
  <c r="I39" i="71"/>
  <c r="H39" i="71"/>
  <c r="H40" i="71" s="1"/>
  <c r="I14" i="1" s="1"/>
  <c r="G39" i="71"/>
  <c r="G40" i="71" s="1"/>
  <c r="H14" i="1" s="1"/>
  <c r="E39" i="71"/>
  <c r="D39" i="71"/>
  <c r="D40" i="71" s="1"/>
  <c r="E14" i="1" s="1"/>
  <c r="C39" i="71"/>
  <c r="C40" i="71" s="1"/>
  <c r="D14" i="1" s="1"/>
  <c r="B2" i="66"/>
  <c r="B1" i="66"/>
  <c r="Y39" i="66"/>
  <c r="Y40" i="66" s="1"/>
  <c r="Z13" i="1" s="1"/>
  <c r="X39" i="66"/>
  <c r="X40" i="66" s="1"/>
  <c r="Y13" i="1" s="1"/>
  <c r="W39" i="66"/>
  <c r="U39" i="66"/>
  <c r="T39" i="66"/>
  <c r="S39" i="66"/>
  <c r="S40" i="66" s="1"/>
  <c r="T13" i="1" s="1"/>
  <c r="Q39" i="66"/>
  <c r="Q40" i="66" s="1"/>
  <c r="R13" i="1" s="1"/>
  <c r="P39" i="66"/>
  <c r="P40" i="66" s="1"/>
  <c r="Q13" i="1" s="1"/>
  <c r="O39" i="66"/>
  <c r="O40" i="66" s="1"/>
  <c r="P13" i="1" s="1"/>
  <c r="M39" i="66"/>
  <c r="M40" i="66" s="1"/>
  <c r="N13" i="1" s="1"/>
  <c r="L39" i="66"/>
  <c r="L40" i="66" s="1"/>
  <c r="M13" i="1" s="1"/>
  <c r="K39" i="66"/>
  <c r="I39" i="66"/>
  <c r="H39" i="66"/>
  <c r="G39" i="66"/>
  <c r="G40" i="66" s="1"/>
  <c r="H13" i="1" s="1"/>
  <c r="E39" i="66"/>
  <c r="E40" i="66" s="1"/>
  <c r="F13" i="1" s="1"/>
  <c r="D39" i="66"/>
  <c r="D40" i="66" s="1"/>
  <c r="E13" i="1" s="1"/>
  <c r="C39" i="66"/>
  <c r="C40" i="66" s="1"/>
  <c r="D13" i="1" s="1"/>
  <c r="B2" i="67"/>
  <c r="B1" i="67"/>
  <c r="Y39" i="67"/>
  <c r="X39" i="67"/>
  <c r="X40" i="67" s="1"/>
  <c r="Y12" i="1" s="1"/>
  <c r="W39" i="67"/>
  <c r="U39" i="67"/>
  <c r="T39" i="67"/>
  <c r="S39" i="67"/>
  <c r="S40" i="67" s="1"/>
  <c r="T12" i="1" s="1"/>
  <c r="Q39" i="67"/>
  <c r="Q40" i="67" s="1"/>
  <c r="R12" i="1" s="1"/>
  <c r="P39" i="67"/>
  <c r="P40" i="67" s="1"/>
  <c r="Q12" i="1" s="1"/>
  <c r="O39" i="67"/>
  <c r="O40" i="67" s="1"/>
  <c r="P12" i="1" s="1"/>
  <c r="M39" i="67"/>
  <c r="L39" i="67"/>
  <c r="L40" i="67" s="1"/>
  <c r="M12" i="1" s="1"/>
  <c r="K39" i="67"/>
  <c r="I39" i="67"/>
  <c r="H39" i="67"/>
  <c r="G39" i="67"/>
  <c r="G40" i="67" s="1"/>
  <c r="H12" i="1" s="1"/>
  <c r="E39" i="67"/>
  <c r="E40" i="67" s="1"/>
  <c r="F12" i="1" s="1"/>
  <c r="D39" i="67"/>
  <c r="D40" i="67" s="1"/>
  <c r="E12" i="1" s="1"/>
  <c r="C39" i="67"/>
  <c r="C40" i="67" s="1"/>
  <c r="D12" i="1" s="1"/>
  <c r="B2" i="68"/>
  <c r="B1" i="68"/>
  <c r="B2" i="69"/>
  <c r="B1" i="69"/>
  <c r="Y39" i="68"/>
  <c r="Y40" i="68" s="1"/>
  <c r="Z11" i="1" s="1"/>
  <c r="X39" i="68"/>
  <c r="X40" i="68" s="1"/>
  <c r="Y11" i="1" s="1"/>
  <c r="W39" i="68"/>
  <c r="U39" i="68"/>
  <c r="T39" i="68"/>
  <c r="S39" i="68"/>
  <c r="S40" i="68" s="1"/>
  <c r="T11" i="1" s="1"/>
  <c r="Q39" i="68"/>
  <c r="P39" i="68"/>
  <c r="P40" i="68" s="1"/>
  <c r="Q11" i="1" s="1"/>
  <c r="O39" i="68"/>
  <c r="O40" i="68" s="1"/>
  <c r="P11" i="1" s="1"/>
  <c r="M39" i="68"/>
  <c r="M40" i="68" s="1"/>
  <c r="N11" i="1" s="1"/>
  <c r="L39" i="68"/>
  <c r="L40" i="68" s="1"/>
  <c r="M11" i="1" s="1"/>
  <c r="K39" i="68"/>
  <c r="I39" i="68"/>
  <c r="H39" i="68"/>
  <c r="G39" i="68"/>
  <c r="G40" i="68" s="1"/>
  <c r="H11" i="1" s="1"/>
  <c r="E39" i="68"/>
  <c r="D39" i="68"/>
  <c r="D40" i="68" s="1"/>
  <c r="E11" i="1" s="1"/>
  <c r="C39" i="68"/>
  <c r="C40" i="68" s="1"/>
  <c r="D11" i="1" s="1"/>
  <c r="B2" i="70"/>
  <c r="B1" i="70"/>
  <c r="C4" i="1"/>
  <c r="G3" i="1"/>
  <c r="C15" i="1" s="1"/>
  <c r="D3" i="1"/>
  <c r="C9" i="1" s="1"/>
  <c r="C4" i="39"/>
  <c r="G3" i="39"/>
  <c r="C15" i="39" s="1"/>
  <c r="D3" i="39"/>
  <c r="C9" i="39" s="1"/>
  <c r="B2" i="2"/>
  <c r="B1" i="2"/>
  <c r="C39" i="69"/>
  <c r="C40" i="69" s="1"/>
  <c r="D10" i="1" s="1"/>
  <c r="X39" i="69"/>
  <c r="X40" i="69" s="1"/>
  <c r="Y10" i="1" s="1"/>
  <c r="W39" i="69"/>
  <c r="W40" i="69" s="1"/>
  <c r="U39" i="69"/>
  <c r="T39" i="69"/>
  <c r="S39" i="69"/>
  <c r="S40" i="69" s="1"/>
  <c r="T10" i="1" s="1"/>
  <c r="P39" i="69"/>
  <c r="P40" i="69" s="1"/>
  <c r="Q10" i="1" s="1"/>
  <c r="O39" i="69"/>
  <c r="O40" i="69" s="1"/>
  <c r="P10" i="1" s="1"/>
  <c r="M39" i="69"/>
  <c r="M40" i="69" s="1"/>
  <c r="N10" i="1" s="1"/>
  <c r="L39" i="69"/>
  <c r="L40" i="69" s="1"/>
  <c r="M10" i="1" s="1"/>
  <c r="K39" i="69"/>
  <c r="K40" i="69" s="1"/>
  <c r="L10" i="1" s="1"/>
  <c r="H39" i="69"/>
  <c r="G39" i="69"/>
  <c r="G40" i="69" s="1"/>
  <c r="H10" i="1" s="1"/>
  <c r="D39" i="69"/>
  <c r="D40" i="69" s="1"/>
  <c r="E10" i="1" s="1"/>
  <c r="N27" i="2"/>
  <c r="AH38" i="76"/>
  <c r="AP38" i="76" s="1"/>
  <c r="AG38" i="76"/>
  <c r="AN38" i="76" s="1"/>
  <c r="AF38" i="76"/>
  <c r="AL38" i="76" s="1"/>
  <c r="Z38" i="76"/>
  <c r="V38" i="76"/>
  <c r="R38" i="76"/>
  <c r="N38" i="76"/>
  <c r="J38" i="76"/>
  <c r="F38" i="76"/>
  <c r="AH37" i="76"/>
  <c r="AP37" i="76" s="1"/>
  <c r="AG37" i="76"/>
  <c r="AN37" i="76" s="1"/>
  <c r="AF37" i="76"/>
  <c r="AL37" i="76" s="1"/>
  <c r="Z37" i="76"/>
  <c r="V37" i="76"/>
  <c r="R37" i="76"/>
  <c r="N37" i="76"/>
  <c r="J37" i="76"/>
  <c r="F37" i="76"/>
  <c r="AH36" i="76"/>
  <c r="AP36" i="76" s="1"/>
  <c r="AG36" i="76"/>
  <c r="AN36" i="76" s="1"/>
  <c r="AF36" i="76"/>
  <c r="AL36" i="76" s="1"/>
  <c r="Z36" i="76"/>
  <c r="V36" i="76"/>
  <c r="R36" i="76"/>
  <c r="N36" i="76"/>
  <c r="J36" i="76"/>
  <c r="F36" i="76"/>
  <c r="AH35" i="76"/>
  <c r="AP35" i="76" s="1"/>
  <c r="AG35" i="76"/>
  <c r="AN35" i="76" s="1"/>
  <c r="AF35" i="76"/>
  <c r="AL35" i="76" s="1"/>
  <c r="Z35" i="76"/>
  <c r="V35" i="76"/>
  <c r="R35" i="76"/>
  <c r="N35" i="76"/>
  <c r="J35" i="76"/>
  <c r="F35" i="76"/>
  <c r="AH34" i="76"/>
  <c r="AP34" i="76" s="1"/>
  <c r="AG34" i="76"/>
  <c r="AN34" i="76" s="1"/>
  <c r="AF34" i="76"/>
  <c r="AL34" i="76" s="1"/>
  <c r="Z34" i="76"/>
  <c r="V34" i="76"/>
  <c r="R34" i="76"/>
  <c r="N34" i="76"/>
  <c r="J34" i="76"/>
  <c r="F34" i="76"/>
  <c r="AH33" i="76"/>
  <c r="AP33" i="76" s="1"/>
  <c r="AG33" i="76"/>
  <c r="AN33" i="76" s="1"/>
  <c r="AF33" i="76"/>
  <c r="AL33" i="76" s="1"/>
  <c r="Z33" i="76"/>
  <c r="V33" i="76"/>
  <c r="R33" i="76"/>
  <c r="N33" i="76"/>
  <c r="J33" i="76"/>
  <c r="F33" i="76"/>
  <c r="AH32" i="76"/>
  <c r="AP32" i="76" s="1"/>
  <c r="AG32" i="76"/>
  <c r="AN32" i="76" s="1"/>
  <c r="AF32" i="76"/>
  <c r="AL32" i="76" s="1"/>
  <c r="Z32" i="76"/>
  <c r="V32" i="76"/>
  <c r="R32" i="76"/>
  <c r="N32" i="76"/>
  <c r="J32" i="76"/>
  <c r="F32" i="76"/>
  <c r="AH31" i="76"/>
  <c r="AP31" i="76" s="1"/>
  <c r="AG31" i="76"/>
  <c r="AN31" i="76" s="1"/>
  <c r="AF31" i="76"/>
  <c r="AL31" i="76" s="1"/>
  <c r="Z31" i="76"/>
  <c r="V31" i="76"/>
  <c r="R31" i="76"/>
  <c r="N31" i="76"/>
  <c r="J31" i="76"/>
  <c r="F31" i="76"/>
  <c r="AH30" i="76"/>
  <c r="AP30" i="76" s="1"/>
  <c r="AG30" i="76"/>
  <c r="AN30" i="76" s="1"/>
  <c r="AF30" i="76"/>
  <c r="AL30" i="76" s="1"/>
  <c r="Z30" i="76"/>
  <c r="V30" i="76"/>
  <c r="R30" i="76"/>
  <c r="N30" i="76"/>
  <c r="J30" i="76"/>
  <c r="F30" i="76"/>
  <c r="AH29" i="76"/>
  <c r="AP29" i="76" s="1"/>
  <c r="AG29" i="76"/>
  <c r="AN29" i="76" s="1"/>
  <c r="AF29" i="76"/>
  <c r="AL29" i="76" s="1"/>
  <c r="Z29" i="76"/>
  <c r="V29" i="76"/>
  <c r="R29" i="76"/>
  <c r="N29" i="76"/>
  <c r="J29" i="76"/>
  <c r="F29" i="76"/>
  <c r="AH28" i="76"/>
  <c r="AP28" i="76" s="1"/>
  <c r="AG28" i="76"/>
  <c r="AN28" i="76" s="1"/>
  <c r="AF28" i="76"/>
  <c r="AL28" i="76" s="1"/>
  <c r="Z28" i="76"/>
  <c r="V28" i="76"/>
  <c r="R28" i="76"/>
  <c r="N28" i="76"/>
  <c r="J28" i="76"/>
  <c r="F28" i="76"/>
  <c r="AH27" i="76"/>
  <c r="AP27" i="76" s="1"/>
  <c r="AG27" i="76"/>
  <c r="AN27" i="76" s="1"/>
  <c r="AF27" i="76"/>
  <c r="AL27" i="76" s="1"/>
  <c r="Z27" i="76"/>
  <c r="V27" i="76"/>
  <c r="R27" i="76"/>
  <c r="N27" i="76"/>
  <c r="J27" i="76"/>
  <c r="F27" i="76"/>
  <c r="AH26" i="76"/>
  <c r="AP26" i="76" s="1"/>
  <c r="AG26" i="76"/>
  <c r="AN26" i="76" s="1"/>
  <c r="AF26" i="76"/>
  <c r="AL26" i="76" s="1"/>
  <c r="Z26" i="76"/>
  <c r="V26" i="76"/>
  <c r="R26" i="76"/>
  <c r="N26" i="76"/>
  <c r="J26" i="76"/>
  <c r="F26" i="76"/>
  <c r="AH25" i="76"/>
  <c r="AP25" i="76" s="1"/>
  <c r="AG25" i="76"/>
  <c r="AN25" i="76" s="1"/>
  <c r="AF25" i="76"/>
  <c r="AL25" i="76" s="1"/>
  <c r="Z25" i="76"/>
  <c r="V25" i="76"/>
  <c r="R25" i="76"/>
  <c r="N25" i="76"/>
  <c r="J25" i="76"/>
  <c r="F25" i="76"/>
  <c r="AH24" i="76"/>
  <c r="AP24" i="76" s="1"/>
  <c r="AG24" i="76"/>
  <c r="AN24" i="76" s="1"/>
  <c r="AF24" i="76"/>
  <c r="AL24" i="76" s="1"/>
  <c r="Z24" i="76"/>
  <c r="V24" i="76"/>
  <c r="R24" i="76"/>
  <c r="N24" i="76"/>
  <c r="J24" i="76"/>
  <c r="F24" i="76"/>
  <c r="AH23" i="76"/>
  <c r="AP23" i="76" s="1"/>
  <c r="AG23" i="76"/>
  <c r="AN23" i="76" s="1"/>
  <c r="AF23" i="76"/>
  <c r="AL23" i="76" s="1"/>
  <c r="Z23" i="76"/>
  <c r="V23" i="76"/>
  <c r="R23" i="76"/>
  <c r="N23" i="76"/>
  <c r="J23" i="76"/>
  <c r="F23" i="76"/>
  <c r="AH22" i="76"/>
  <c r="AP22" i="76" s="1"/>
  <c r="AG22" i="76"/>
  <c r="AN22" i="76" s="1"/>
  <c r="AF22" i="76"/>
  <c r="AL22" i="76" s="1"/>
  <c r="Z22" i="76"/>
  <c r="V22" i="76"/>
  <c r="R22" i="76"/>
  <c r="N22" i="76"/>
  <c r="J22" i="76"/>
  <c r="F22" i="76"/>
  <c r="AH21" i="76"/>
  <c r="AP21" i="76" s="1"/>
  <c r="AG21" i="76"/>
  <c r="AN21" i="76" s="1"/>
  <c r="AF21" i="76"/>
  <c r="AL21" i="76" s="1"/>
  <c r="Z21" i="76"/>
  <c r="V21" i="76"/>
  <c r="R21" i="76"/>
  <c r="N21" i="76"/>
  <c r="J21" i="76"/>
  <c r="F21" i="76"/>
  <c r="AH20" i="76"/>
  <c r="AP20" i="76" s="1"/>
  <c r="AG20" i="76"/>
  <c r="AN20" i="76" s="1"/>
  <c r="AF20" i="76"/>
  <c r="AL20" i="76" s="1"/>
  <c r="Z20" i="76"/>
  <c r="V20" i="76"/>
  <c r="R20" i="76"/>
  <c r="N20" i="76"/>
  <c r="J20" i="76"/>
  <c r="F20" i="76"/>
  <c r="AH19" i="76"/>
  <c r="AP19" i="76" s="1"/>
  <c r="AG19" i="76"/>
  <c r="AN19" i="76" s="1"/>
  <c r="AF19" i="76"/>
  <c r="AL19" i="76" s="1"/>
  <c r="Z19" i="76"/>
  <c r="V19" i="76"/>
  <c r="R19" i="76"/>
  <c r="N19" i="76"/>
  <c r="J19" i="76"/>
  <c r="F19" i="76"/>
  <c r="AH18" i="76"/>
  <c r="AP18" i="76" s="1"/>
  <c r="AG18" i="76"/>
  <c r="AN18" i="76" s="1"/>
  <c r="AF18" i="76"/>
  <c r="AL18" i="76" s="1"/>
  <c r="Z18" i="76"/>
  <c r="V18" i="76"/>
  <c r="R18" i="76"/>
  <c r="N18" i="76"/>
  <c r="J18" i="76"/>
  <c r="F18" i="76"/>
  <c r="AH17" i="76"/>
  <c r="AP17" i="76" s="1"/>
  <c r="AG17" i="76"/>
  <c r="AN17" i="76" s="1"/>
  <c r="AF17" i="76"/>
  <c r="AL17" i="76" s="1"/>
  <c r="Z17" i="76"/>
  <c r="V17" i="76"/>
  <c r="R17" i="76"/>
  <c r="N17" i="76"/>
  <c r="J17" i="76"/>
  <c r="F17" i="76"/>
  <c r="AH16" i="76"/>
  <c r="AP16" i="76" s="1"/>
  <c r="AG16" i="76"/>
  <c r="AN16" i="76" s="1"/>
  <c r="AF16" i="76"/>
  <c r="AL16" i="76" s="1"/>
  <c r="Z16" i="76"/>
  <c r="V16" i="76"/>
  <c r="R16" i="76"/>
  <c r="N16" i="76"/>
  <c r="J16" i="76"/>
  <c r="F16" i="76"/>
  <c r="AH15" i="76"/>
  <c r="AP15" i="76" s="1"/>
  <c r="AG15" i="76"/>
  <c r="AN15" i="76" s="1"/>
  <c r="AF15" i="76"/>
  <c r="AL15" i="76" s="1"/>
  <c r="Z15" i="76"/>
  <c r="V15" i="76"/>
  <c r="R15" i="76"/>
  <c r="N15" i="76"/>
  <c r="J15" i="76"/>
  <c r="F15" i="76"/>
  <c r="AH14" i="76"/>
  <c r="AP14" i="76" s="1"/>
  <c r="AG14" i="76"/>
  <c r="AN14" i="76" s="1"/>
  <c r="AF14" i="76"/>
  <c r="AL14" i="76" s="1"/>
  <c r="Z14" i="76"/>
  <c r="V14" i="76"/>
  <c r="R14" i="76"/>
  <c r="N14" i="76"/>
  <c r="J14" i="76"/>
  <c r="F14" i="76"/>
  <c r="AH13" i="76"/>
  <c r="AP13" i="76" s="1"/>
  <c r="AG13" i="76"/>
  <c r="AN13" i="76" s="1"/>
  <c r="AF13" i="76"/>
  <c r="AL13" i="76" s="1"/>
  <c r="Z13" i="76"/>
  <c r="V13" i="76"/>
  <c r="R13" i="76"/>
  <c r="N13" i="76"/>
  <c r="J13" i="76"/>
  <c r="F13" i="76"/>
  <c r="AH12" i="76"/>
  <c r="AP12" i="76" s="1"/>
  <c r="AG12" i="76"/>
  <c r="AN12" i="76" s="1"/>
  <c r="AF12" i="76"/>
  <c r="AL12" i="76" s="1"/>
  <c r="Z12" i="76"/>
  <c r="V12" i="76"/>
  <c r="R12" i="76"/>
  <c r="N12" i="76"/>
  <c r="J12" i="76"/>
  <c r="F12" i="76"/>
  <c r="AH11" i="76"/>
  <c r="AP11" i="76" s="1"/>
  <c r="AG11" i="76"/>
  <c r="AN11" i="76" s="1"/>
  <c r="AF11" i="76"/>
  <c r="AL11" i="76" s="1"/>
  <c r="Z11" i="76"/>
  <c r="V11" i="76"/>
  <c r="R11" i="76"/>
  <c r="N11" i="76"/>
  <c r="J11" i="76"/>
  <c r="F11" i="76"/>
  <c r="AH10" i="76"/>
  <c r="AP10" i="76" s="1"/>
  <c r="AG10" i="76"/>
  <c r="AN10" i="76" s="1"/>
  <c r="AF10" i="76"/>
  <c r="AL10" i="76" s="1"/>
  <c r="Z10" i="76"/>
  <c r="V10" i="76"/>
  <c r="R10" i="76"/>
  <c r="N10" i="76"/>
  <c r="J10" i="76"/>
  <c r="F10" i="76"/>
  <c r="AH9" i="76"/>
  <c r="AP9" i="76" s="1"/>
  <c r="AG9" i="76"/>
  <c r="AN9" i="76" s="1"/>
  <c r="AF9" i="76"/>
  <c r="AL9" i="76" s="1"/>
  <c r="Z9" i="76"/>
  <c r="V9" i="76"/>
  <c r="R9" i="76"/>
  <c r="N9" i="76"/>
  <c r="J9" i="76"/>
  <c r="F9" i="76"/>
  <c r="AH8" i="76"/>
  <c r="AP8" i="76" s="1"/>
  <c r="AG8" i="76"/>
  <c r="AF8" i="76"/>
  <c r="AL8" i="76" s="1"/>
  <c r="Z8" i="76"/>
  <c r="V8" i="76"/>
  <c r="R8" i="76"/>
  <c r="N8" i="76"/>
  <c r="J8" i="76"/>
  <c r="F8" i="76"/>
  <c r="AG6" i="76"/>
  <c r="AE6" i="76"/>
  <c r="AM5" i="76"/>
  <c r="AK5" i="76"/>
  <c r="AH38" i="75"/>
  <c r="AP38" i="75" s="1"/>
  <c r="AG38" i="75"/>
  <c r="AN38" i="75" s="1"/>
  <c r="AF38" i="75"/>
  <c r="AL38" i="75" s="1"/>
  <c r="Z38" i="75"/>
  <c r="V38" i="75"/>
  <c r="R38" i="75"/>
  <c r="N38" i="75"/>
  <c r="J38" i="75"/>
  <c r="F38" i="75"/>
  <c r="AH37" i="75"/>
  <c r="AP37" i="75" s="1"/>
  <c r="AG37" i="75"/>
  <c r="AN37" i="75" s="1"/>
  <c r="AF37" i="75"/>
  <c r="AL37" i="75" s="1"/>
  <c r="Z37" i="75"/>
  <c r="V37" i="75"/>
  <c r="R37" i="75"/>
  <c r="N37" i="75"/>
  <c r="J37" i="75"/>
  <c r="F37" i="75"/>
  <c r="AH36" i="75"/>
  <c r="AP36" i="75" s="1"/>
  <c r="AG36" i="75"/>
  <c r="AN36" i="75" s="1"/>
  <c r="AF36" i="75"/>
  <c r="AL36" i="75" s="1"/>
  <c r="Z36" i="75"/>
  <c r="V36" i="75"/>
  <c r="R36" i="75"/>
  <c r="N36" i="75"/>
  <c r="J36" i="75"/>
  <c r="F36" i="75"/>
  <c r="AH35" i="75"/>
  <c r="AP35" i="75" s="1"/>
  <c r="AG35" i="75"/>
  <c r="AN35" i="75" s="1"/>
  <c r="AF35" i="75"/>
  <c r="AL35" i="75" s="1"/>
  <c r="Z35" i="75"/>
  <c r="V35" i="75"/>
  <c r="R35" i="75"/>
  <c r="N35" i="75"/>
  <c r="J35" i="75"/>
  <c r="F35" i="75"/>
  <c r="AH34" i="75"/>
  <c r="AP34" i="75" s="1"/>
  <c r="AG34" i="75"/>
  <c r="AN34" i="75" s="1"/>
  <c r="AF34" i="75"/>
  <c r="AL34" i="75" s="1"/>
  <c r="Z34" i="75"/>
  <c r="V34" i="75"/>
  <c r="R34" i="75"/>
  <c r="N34" i="75"/>
  <c r="J34" i="75"/>
  <c r="F34" i="75"/>
  <c r="AH33" i="75"/>
  <c r="AP33" i="75" s="1"/>
  <c r="AG33" i="75"/>
  <c r="AN33" i="75" s="1"/>
  <c r="AF33" i="75"/>
  <c r="AL33" i="75" s="1"/>
  <c r="Z33" i="75"/>
  <c r="V33" i="75"/>
  <c r="R33" i="75"/>
  <c r="N33" i="75"/>
  <c r="J33" i="75"/>
  <c r="F33" i="75"/>
  <c r="AH32" i="75"/>
  <c r="AP32" i="75" s="1"/>
  <c r="AG32" i="75"/>
  <c r="AN32" i="75" s="1"/>
  <c r="AF32" i="75"/>
  <c r="AL32" i="75" s="1"/>
  <c r="Z32" i="75"/>
  <c r="V32" i="75"/>
  <c r="R32" i="75"/>
  <c r="N32" i="75"/>
  <c r="J32" i="75"/>
  <c r="F32" i="75"/>
  <c r="AH31" i="75"/>
  <c r="AP31" i="75" s="1"/>
  <c r="AG31" i="75"/>
  <c r="AN31" i="75" s="1"/>
  <c r="AF31" i="75"/>
  <c r="AL31" i="75" s="1"/>
  <c r="Z31" i="75"/>
  <c r="V31" i="75"/>
  <c r="R31" i="75"/>
  <c r="N31" i="75"/>
  <c r="J31" i="75"/>
  <c r="F31" i="75"/>
  <c r="AH30" i="75"/>
  <c r="AP30" i="75" s="1"/>
  <c r="AG30" i="75"/>
  <c r="AN30" i="75" s="1"/>
  <c r="AF30" i="75"/>
  <c r="AL30" i="75" s="1"/>
  <c r="Z30" i="75"/>
  <c r="V30" i="75"/>
  <c r="R30" i="75"/>
  <c r="N30" i="75"/>
  <c r="J30" i="75"/>
  <c r="F30" i="75"/>
  <c r="AH29" i="75"/>
  <c r="AP29" i="75" s="1"/>
  <c r="AG29" i="75"/>
  <c r="AN29" i="75" s="1"/>
  <c r="AF29" i="75"/>
  <c r="AL29" i="75" s="1"/>
  <c r="Z29" i="75"/>
  <c r="V29" i="75"/>
  <c r="R29" i="75"/>
  <c r="N29" i="75"/>
  <c r="J29" i="75"/>
  <c r="F29" i="75"/>
  <c r="AH28" i="75"/>
  <c r="AP28" i="75" s="1"/>
  <c r="AG28" i="75"/>
  <c r="AN28" i="75" s="1"/>
  <c r="AF28" i="75"/>
  <c r="AL28" i="75" s="1"/>
  <c r="Z28" i="75"/>
  <c r="V28" i="75"/>
  <c r="R28" i="75"/>
  <c r="N28" i="75"/>
  <c r="J28" i="75"/>
  <c r="F28" i="75"/>
  <c r="AH27" i="75"/>
  <c r="AP27" i="75" s="1"/>
  <c r="AG27" i="75"/>
  <c r="AN27" i="75" s="1"/>
  <c r="AF27" i="75"/>
  <c r="AL27" i="75" s="1"/>
  <c r="Z27" i="75"/>
  <c r="V27" i="75"/>
  <c r="R27" i="75"/>
  <c r="N27" i="75"/>
  <c r="J27" i="75"/>
  <c r="F27" i="75"/>
  <c r="AH26" i="75"/>
  <c r="AP26" i="75" s="1"/>
  <c r="AG26" i="75"/>
  <c r="AN26" i="75" s="1"/>
  <c r="AF26" i="75"/>
  <c r="AL26" i="75" s="1"/>
  <c r="Z26" i="75"/>
  <c r="V26" i="75"/>
  <c r="R26" i="75"/>
  <c r="N26" i="75"/>
  <c r="J26" i="75"/>
  <c r="F26" i="75"/>
  <c r="AH25" i="75"/>
  <c r="AP25" i="75" s="1"/>
  <c r="AG25" i="75"/>
  <c r="AN25" i="75" s="1"/>
  <c r="AF25" i="75"/>
  <c r="AL25" i="75" s="1"/>
  <c r="Z25" i="75"/>
  <c r="V25" i="75"/>
  <c r="R25" i="75"/>
  <c r="N25" i="75"/>
  <c r="J25" i="75"/>
  <c r="F25" i="75"/>
  <c r="AH24" i="75"/>
  <c r="AP24" i="75" s="1"/>
  <c r="AG24" i="75"/>
  <c r="AN24" i="75" s="1"/>
  <c r="AF24" i="75"/>
  <c r="AL24" i="75" s="1"/>
  <c r="Z24" i="75"/>
  <c r="V24" i="75"/>
  <c r="R24" i="75"/>
  <c r="N24" i="75"/>
  <c r="J24" i="75"/>
  <c r="F24" i="75"/>
  <c r="AH23" i="75"/>
  <c r="AP23" i="75" s="1"/>
  <c r="AG23" i="75"/>
  <c r="AN23" i="75" s="1"/>
  <c r="AF23" i="75"/>
  <c r="AL23" i="75" s="1"/>
  <c r="Z23" i="75"/>
  <c r="V23" i="75"/>
  <c r="R23" i="75"/>
  <c r="N23" i="75"/>
  <c r="J23" i="75"/>
  <c r="F23" i="75"/>
  <c r="AH22" i="75"/>
  <c r="AP22" i="75" s="1"/>
  <c r="AG22" i="75"/>
  <c r="AN22" i="75" s="1"/>
  <c r="AF22" i="75"/>
  <c r="AL22" i="75" s="1"/>
  <c r="Z22" i="75"/>
  <c r="V22" i="75"/>
  <c r="R22" i="75"/>
  <c r="N22" i="75"/>
  <c r="J22" i="75"/>
  <c r="F22" i="75"/>
  <c r="AH21" i="75"/>
  <c r="AP21" i="75" s="1"/>
  <c r="AG21" i="75"/>
  <c r="AN21" i="75" s="1"/>
  <c r="AF21" i="75"/>
  <c r="AL21" i="75" s="1"/>
  <c r="Z21" i="75"/>
  <c r="V21" i="75"/>
  <c r="R21" i="75"/>
  <c r="N21" i="75"/>
  <c r="J21" i="75"/>
  <c r="F21" i="75"/>
  <c r="AH20" i="75"/>
  <c r="AP20" i="75" s="1"/>
  <c r="AG20" i="75"/>
  <c r="AN20" i="75" s="1"/>
  <c r="AF20" i="75"/>
  <c r="AL20" i="75" s="1"/>
  <c r="Z20" i="75"/>
  <c r="V20" i="75"/>
  <c r="R20" i="75"/>
  <c r="N20" i="75"/>
  <c r="J20" i="75"/>
  <c r="F20" i="75"/>
  <c r="AH19" i="75"/>
  <c r="AP19" i="75" s="1"/>
  <c r="AG19" i="75"/>
  <c r="AN19" i="75" s="1"/>
  <c r="AF19" i="75"/>
  <c r="AL19" i="75" s="1"/>
  <c r="Z19" i="75"/>
  <c r="V19" i="75"/>
  <c r="R19" i="75"/>
  <c r="N19" i="75"/>
  <c r="J19" i="75"/>
  <c r="F19" i="75"/>
  <c r="AH18" i="75"/>
  <c r="AP18" i="75" s="1"/>
  <c r="AG18" i="75"/>
  <c r="AN18" i="75" s="1"/>
  <c r="AF18" i="75"/>
  <c r="AL18" i="75" s="1"/>
  <c r="Z18" i="75"/>
  <c r="V18" i="75"/>
  <c r="R18" i="75"/>
  <c r="N18" i="75"/>
  <c r="J18" i="75"/>
  <c r="F18" i="75"/>
  <c r="AH17" i="75"/>
  <c r="AP17" i="75" s="1"/>
  <c r="AG17" i="75"/>
  <c r="AN17" i="75" s="1"/>
  <c r="AF17" i="75"/>
  <c r="AL17" i="75" s="1"/>
  <c r="Z17" i="75"/>
  <c r="V17" i="75"/>
  <c r="R17" i="75"/>
  <c r="N17" i="75"/>
  <c r="J17" i="75"/>
  <c r="F17" i="75"/>
  <c r="AH16" i="75"/>
  <c r="AP16" i="75" s="1"/>
  <c r="AG16" i="75"/>
  <c r="AN16" i="75" s="1"/>
  <c r="AF16" i="75"/>
  <c r="AL16" i="75" s="1"/>
  <c r="Z16" i="75"/>
  <c r="V16" i="75"/>
  <c r="R16" i="75"/>
  <c r="N16" i="75"/>
  <c r="J16" i="75"/>
  <c r="F16" i="75"/>
  <c r="AH15" i="75"/>
  <c r="AP15" i="75" s="1"/>
  <c r="AG15" i="75"/>
  <c r="AN15" i="75" s="1"/>
  <c r="AF15" i="75"/>
  <c r="AL15" i="75" s="1"/>
  <c r="Z15" i="75"/>
  <c r="V15" i="75"/>
  <c r="R15" i="75"/>
  <c r="N15" i="75"/>
  <c r="J15" i="75"/>
  <c r="F15" i="75"/>
  <c r="AH14" i="75"/>
  <c r="AP14" i="75" s="1"/>
  <c r="AG14" i="75"/>
  <c r="AN14" i="75" s="1"/>
  <c r="AF14" i="75"/>
  <c r="AL14" i="75" s="1"/>
  <c r="Z14" i="75"/>
  <c r="V14" i="75"/>
  <c r="R14" i="75"/>
  <c r="N14" i="75"/>
  <c r="J14" i="75"/>
  <c r="F14" i="75"/>
  <c r="AH13" i="75"/>
  <c r="AP13" i="75" s="1"/>
  <c r="AG13" i="75"/>
  <c r="AN13" i="75" s="1"/>
  <c r="AF13" i="75"/>
  <c r="AL13" i="75" s="1"/>
  <c r="Z13" i="75"/>
  <c r="V13" i="75"/>
  <c r="R13" i="75"/>
  <c r="N13" i="75"/>
  <c r="J13" i="75"/>
  <c r="F13" i="75"/>
  <c r="AH12" i="75"/>
  <c r="AP12" i="75" s="1"/>
  <c r="AG12" i="75"/>
  <c r="AN12" i="75" s="1"/>
  <c r="AF12" i="75"/>
  <c r="AL12" i="75" s="1"/>
  <c r="Z12" i="75"/>
  <c r="V12" i="75"/>
  <c r="R12" i="75"/>
  <c r="N12" i="75"/>
  <c r="J12" i="75"/>
  <c r="F12" i="75"/>
  <c r="AH11" i="75"/>
  <c r="AP11" i="75" s="1"/>
  <c r="AG11" i="75"/>
  <c r="AN11" i="75" s="1"/>
  <c r="AF11" i="75"/>
  <c r="AL11" i="75" s="1"/>
  <c r="Z11" i="75"/>
  <c r="V11" i="75"/>
  <c r="R11" i="75"/>
  <c r="N11" i="75"/>
  <c r="J11" i="75"/>
  <c r="F11" i="75"/>
  <c r="AH10" i="75"/>
  <c r="AP10" i="75" s="1"/>
  <c r="AG10" i="75"/>
  <c r="AN10" i="75" s="1"/>
  <c r="AF10" i="75"/>
  <c r="AL10" i="75" s="1"/>
  <c r="Z10" i="75"/>
  <c r="V10" i="75"/>
  <c r="R10" i="75"/>
  <c r="N10" i="75"/>
  <c r="J10" i="75"/>
  <c r="F10" i="75"/>
  <c r="AH9" i="75"/>
  <c r="AP9" i="75" s="1"/>
  <c r="AG9" i="75"/>
  <c r="AF9" i="75"/>
  <c r="AL9" i="75" s="1"/>
  <c r="Z9" i="75"/>
  <c r="V9" i="75"/>
  <c r="R9" i="75"/>
  <c r="N9" i="75"/>
  <c r="J9" i="75"/>
  <c r="F9" i="75"/>
  <c r="AH8" i="75"/>
  <c r="AP8" i="75" s="1"/>
  <c r="AG8" i="75"/>
  <c r="AN8" i="75" s="1"/>
  <c r="AF8" i="75"/>
  <c r="AL8" i="75" s="1"/>
  <c r="Z8" i="75"/>
  <c r="V8" i="75"/>
  <c r="R8" i="75"/>
  <c r="N8" i="75"/>
  <c r="J8" i="75"/>
  <c r="F8" i="75"/>
  <c r="AG6" i="75"/>
  <c r="AE6" i="75"/>
  <c r="AM5" i="75"/>
  <c r="AK5" i="75"/>
  <c r="AH38" i="74"/>
  <c r="AP38" i="74" s="1"/>
  <c r="AG38" i="74"/>
  <c r="AN38" i="74" s="1"/>
  <c r="AF38" i="74"/>
  <c r="AL38" i="74" s="1"/>
  <c r="Z38" i="74"/>
  <c r="V38" i="74"/>
  <c r="R38" i="74"/>
  <c r="N38" i="74"/>
  <c r="J38" i="74"/>
  <c r="F38" i="74"/>
  <c r="AH37" i="74"/>
  <c r="AP37" i="74" s="1"/>
  <c r="AG37" i="74"/>
  <c r="AN37" i="74" s="1"/>
  <c r="AF37" i="74"/>
  <c r="AL37" i="74" s="1"/>
  <c r="Z37" i="74"/>
  <c r="V37" i="74"/>
  <c r="R37" i="74"/>
  <c r="N37" i="74"/>
  <c r="J37" i="74"/>
  <c r="F37" i="74"/>
  <c r="AH36" i="74"/>
  <c r="AP36" i="74" s="1"/>
  <c r="AG36" i="74"/>
  <c r="AN36" i="74" s="1"/>
  <c r="AF36" i="74"/>
  <c r="AL36" i="74" s="1"/>
  <c r="Z36" i="74"/>
  <c r="V36" i="74"/>
  <c r="R36" i="74"/>
  <c r="N36" i="74"/>
  <c r="J36" i="74"/>
  <c r="F36" i="74"/>
  <c r="AH35" i="74"/>
  <c r="AP35" i="74" s="1"/>
  <c r="AG35" i="74"/>
  <c r="AN35" i="74" s="1"/>
  <c r="AF35" i="74"/>
  <c r="AL35" i="74" s="1"/>
  <c r="Z35" i="74"/>
  <c r="V35" i="74"/>
  <c r="R35" i="74"/>
  <c r="N35" i="74"/>
  <c r="J35" i="74"/>
  <c r="F35" i="74"/>
  <c r="AH34" i="74"/>
  <c r="AP34" i="74" s="1"/>
  <c r="AG34" i="74"/>
  <c r="AN34" i="74" s="1"/>
  <c r="AF34" i="74"/>
  <c r="AL34" i="74" s="1"/>
  <c r="Z34" i="74"/>
  <c r="V34" i="74"/>
  <c r="R34" i="74"/>
  <c r="N34" i="74"/>
  <c r="J34" i="74"/>
  <c r="F34" i="74"/>
  <c r="AH33" i="74"/>
  <c r="AP33" i="74" s="1"/>
  <c r="AG33" i="74"/>
  <c r="AN33" i="74" s="1"/>
  <c r="AF33" i="74"/>
  <c r="AL33" i="74" s="1"/>
  <c r="Z33" i="74"/>
  <c r="V33" i="74"/>
  <c r="R33" i="74"/>
  <c r="N33" i="74"/>
  <c r="J33" i="74"/>
  <c r="F33" i="74"/>
  <c r="AH32" i="74"/>
  <c r="AP32" i="74" s="1"/>
  <c r="AG32" i="74"/>
  <c r="AN32" i="74" s="1"/>
  <c r="AF32" i="74"/>
  <c r="AL32" i="74" s="1"/>
  <c r="Z32" i="74"/>
  <c r="V32" i="74"/>
  <c r="R32" i="74"/>
  <c r="N32" i="74"/>
  <c r="J32" i="74"/>
  <c r="F32" i="74"/>
  <c r="AH31" i="74"/>
  <c r="AP31" i="74" s="1"/>
  <c r="AG31" i="74"/>
  <c r="AN31" i="74" s="1"/>
  <c r="AF31" i="74"/>
  <c r="AL31" i="74" s="1"/>
  <c r="Z31" i="74"/>
  <c r="V31" i="74"/>
  <c r="R31" i="74"/>
  <c r="N31" i="74"/>
  <c r="J31" i="74"/>
  <c r="F31" i="74"/>
  <c r="AH30" i="74"/>
  <c r="AP30" i="74" s="1"/>
  <c r="AG30" i="74"/>
  <c r="AN30" i="74" s="1"/>
  <c r="AF30" i="74"/>
  <c r="AL30" i="74" s="1"/>
  <c r="Z30" i="74"/>
  <c r="V30" i="74"/>
  <c r="R30" i="74"/>
  <c r="N30" i="74"/>
  <c r="J30" i="74"/>
  <c r="F30" i="74"/>
  <c r="AH29" i="74"/>
  <c r="AP29" i="74" s="1"/>
  <c r="AG29" i="74"/>
  <c r="AN29" i="74" s="1"/>
  <c r="AF29" i="74"/>
  <c r="AL29" i="74" s="1"/>
  <c r="Z29" i="74"/>
  <c r="V29" i="74"/>
  <c r="R29" i="74"/>
  <c r="N29" i="74"/>
  <c r="J29" i="74"/>
  <c r="F29" i="74"/>
  <c r="AH28" i="74"/>
  <c r="AP28" i="74" s="1"/>
  <c r="AG28" i="74"/>
  <c r="AN28" i="74" s="1"/>
  <c r="AF28" i="74"/>
  <c r="AL28" i="74" s="1"/>
  <c r="Z28" i="74"/>
  <c r="V28" i="74"/>
  <c r="R28" i="74"/>
  <c r="N28" i="74"/>
  <c r="J28" i="74"/>
  <c r="F28" i="74"/>
  <c r="AH27" i="74"/>
  <c r="AP27" i="74" s="1"/>
  <c r="AG27" i="74"/>
  <c r="AN27" i="74" s="1"/>
  <c r="AF27" i="74"/>
  <c r="AL27" i="74" s="1"/>
  <c r="Z27" i="74"/>
  <c r="V27" i="74"/>
  <c r="R27" i="74"/>
  <c r="N27" i="74"/>
  <c r="J27" i="74"/>
  <c r="F27" i="74"/>
  <c r="AH26" i="74"/>
  <c r="AP26" i="74" s="1"/>
  <c r="AG26" i="74"/>
  <c r="AN26" i="74" s="1"/>
  <c r="AF26" i="74"/>
  <c r="AL26" i="74" s="1"/>
  <c r="Z26" i="74"/>
  <c r="V26" i="74"/>
  <c r="R26" i="74"/>
  <c r="N26" i="74"/>
  <c r="J26" i="74"/>
  <c r="F26" i="74"/>
  <c r="AH25" i="74"/>
  <c r="AP25" i="74" s="1"/>
  <c r="AG25" i="74"/>
  <c r="AN25" i="74" s="1"/>
  <c r="AF25" i="74"/>
  <c r="AL25" i="74" s="1"/>
  <c r="Z25" i="74"/>
  <c r="V25" i="74"/>
  <c r="R25" i="74"/>
  <c r="N25" i="74"/>
  <c r="J25" i="74"/>
  <c r="F25" i="74"/>
  <c r="AH24" i="74"/>
  <c r="AP24" i="74" s="1"/>
  <c r="AG24" i="74"/>
  <c r="AN24" i="74" s="1"/>
  <c r="AF24" i="74"/>
  <c r="AL24" i="74" s="1"/>
  <c r="Z24" i="74"/>
  <c r="V24" i="74"/>
  <c r="R24" i="74"/>
  <c r="N24" i="74"/>
  <c r="J24" i="74"/>
  <c r="F24" i="74"/>
  <c r="AH23" i="74"/>
  <c r="AP23" i="74" s="1"/>
  <c r="AG23" i="74"/>
  <c r="AN23" i="74" s="1"/>
  <c r="AF23" i="74"/>
  <c r="AL23" i="74" s="1"/>
  <c r="Z23" i="74"/>
  <c r="V23" i="74"/>
  <c r="R23" i="74"/>
  <c r="N23" i="74"/>
  <c r="J23" i="74"/>
  <c r="F23" i="74"/>
  <c r="AH22" i="74"/>
  <c r="AP22" i="74" s="1"/>
  <c r="AG22" i="74"/>
  <c r="AN22" i="74" s="1"/>
  <c r="AF22" i="74"/>
  <c r="AL22" i="74" s="1"/>
  <c r="Z22" i="74"/>
  <c r="V22" i="74"/>
  <c r="R22" i="74"/>
  <c r="N22" i="74"/>
  <c r="J22" i="74"/>
  <c r="F22" i="74"/>
  <c r="AH21" i="74"/>
  <c r="AP21" i="74" s="1"/>
  <c r="AG21" i="74"/>
  <c r="AN21" i="74" s="1"/>
  <c r="AF21" i="74"/>
  <c r="AL21" i="74" s="1"/>
  <c r="Z21" i="74"/>
  <c r="V21" i="74"/>
  <c r="R21" i="74"/>
  <c r="N21" i="74"/>
  <c r="J21" i="74"/>
  <c r="F21" i="74"/>
  <c r="AH20" i="74"/>
  <c r="AP20" i="74" s="1"/>
  <c r="AG20" i="74"/>
  <c r="AN20" i="74" s="1"/>
  <c r="AF20" i="74"/>
  <c r="AL20" i="74" s="1"/>
  <c r="Z20" i="74"/>
  <c r="V20" i="74"/>
  <c r="R20" i="74"/>
  <c r="N20" i="74"/>
  <c r="J20" i="74"/>
  <c r="F20" i="74"/>
  <c r="AH19" i="74"/>
  <c r="AP19" i="74" s="1"/>
  <c r="AG19" i="74"/>
  <c r="AN19" i="74" s="1"/>
  <c r="AF19" i="74"/>
  <c r="AL19" i="74" s="1"/>
  <c r="Z19" i="74"/>
  <c r="V19" i="74"/>
  <c r="R19" i="74"/>
  <c r="N19" i="74"/>
  <c r="J19" i="74"/>
  <c r="F19" i="74"/>
  <c r="AH18" i="74"/>
  <c r="AP18" i="74" s="1"/>
  <c r="AG18" i="74"/>
  <c r="AN18" i="74" s="1"/>
  <c r="AF18" i="74"/>
  <c r="AL18" i="74" s="1"/>
  <c r="Z18" i="74"/>
  <c r="V18" i="74"/>
  <c r="R18" i="74"/>
  <c r="N18" i="74"/>
  <c r="J18" i="74"/>
  <c r="F18" i="74"/>
  <c r="AH17" i="74"/>
  <c r="AP17" i="74" s="1"/>
  <c r="AG17" i="74"/>
  <c r="AN17" i="74" s="1"/>
  <c r="AF17" i="74"/>
  <c r="AL17" i="74" s="1"/>
  <c r="Z17" i="74"/>
  <c r="V17" i="74"/>
  <c r="R17" i="74"/>
  <c r="N17" i="74"/>
  <c r="J17" i="74"/>
  <c r="F17" i="74"/>
  <c r="AH16" i="74"/>
  <c r="AP16" i="74" s="1"/>
  <c r="AG16" i="74"/>
  <c r="AN16" i="74" s="1"/>
  <c r="AF16" i="74"/>
  <c r="AL16" i="74" s="1"/>
  <c r="Z16" i="74"/>
  <c r="V16" i="74"/>
  <c r="R16" i="74"/>
  <c r="N16" i="74"/>
  <c r="J16" i="74"/>
  <c r="F16" i="74"/>
  <c r="AH15" i="74"/>
  <c r="AP15" i="74" s="1"/>
  <c r="AG15" i="74"/>
  <c r="AN15" i="74" s="1"/>
  <c r="AF15" i="74"/>
  <c r="AL15" i="74" s="1"/>
  <c r="Z15" i="74"/>
  <c r="V15" i="74"/>
  <c r="R15" i="74"/>
  <c r="N15" i="74"/>
  <c r="J15" i="74"/>
  <c r="F15" i="74"/>
  <c r="AH14" i="74"/>
  <c r="AP14" i="74" s="1"/>
  <c r="AG14" i="74"/>
  <c r="AN14" i="74" s="1"/>
  <c r="AF14" i="74"/>
  <c r="AL14" i="74" s="1"/>
  <c r="Z14" i="74"/>
  <c r="V14" i="74"/>
  <c r="R14" i="74"/>
  <c r="N14" i="74"/>
  <c r="J14" i="74"/>
  <c r="F14" i="74"/>
  <c r="AH13" i="74"/>
  <c r="AP13" i="74" s="1"/>
  <c r="AG13" i="74"/>
  <c r="AN13" i="74" s="1"/>
  <c r="AF13" i="74"/>
  <c r="AL13" i="74" s="1"/>
  <c r="Z13" i="74"/>
  <c r="V13" i="74"/>
  <c r="R13" i="74"/>
  <c r="N13" i="74"/>
  <c r="J13" i="74"/>
  <c r="F13" i="74"/>
  <c r="AH12" i="74"/>
  <c r="AP12" i="74" s="1"/>
  <c r="AG12" i="74"/>
  <c r="AN12" i="74" s="1"/>
  <c r="AF12" i="74"/>
  <c r="AL12" i="74" s="1"/>
  <c r="Z12" i="74"/>
  <c r="V12" i="74"/>
  <c r="R12" i="74"/>
  <c r="N12" i="74"/>
  <c r="J12" i="74"/>
  <c r="F12" i="74"/>
  <c r="AH11" i="74"/>
  <c r="AP11" i="74" s="1"/>
  <c r="AG11" i="74"/>
  <c r="AN11" i="74" s="1"/>
  <c r="AF11" i="74"/>
  <c r="AL11" i="74" s="1"/>
  <c r="Z11" i="74"/>
  <c r="V11" i="74"/>
  <c r="R11" i="74"/>
  <c r="N11" i="74"/>
  <c r="J11" i="74"/>
  <c r="F11" i="74"/>
  <c r="AH10" i="74"/>
  <c r="AP10" i="74" s="1"/>
  <c r="AG10" i="74"/>
  <c r="AN10" i="74" s="1"/>
  <c r="AF10" i="74"/>
  <c r="AL10" i="74" s="1"/>
  <c r="Z10" i="74"/>
  <c r="V10" i="74"/>
  <c r="R10" i="74"/>
  <c r="N10" i="74"/>
  <c r="J10" i="74"/>
  <c r="F10" i="74"/>
  <c r="AH9" i="74"/>
  <c r="AP9" i="74" s="1"/>
  <c r="AG9" i="74"/>
  <c r="AN9" i="74" s="1"/>
  <c r="AF9" i="74"/>
  <c r="AL9" i="74" s="1"/>
  <c r="Z9" i="74"/>
  <c r="V9" i="74"/>
  <c r="R9" i="74"/>
  <c r="N9" i="74"/>
  <c r="J9" i="74"/>
  <c r="F9" i="74"/>
  <c r="AH8" i="74"/>
  <c r="AP8" i="74" s="1"/>
  <c r="AG8" i="74"/>
  <c r="AN8" i="74" s="1"/>
  <c r="AF8" i="74"/>
  <c r="AL8" i="74" s="1"/>
  <c r="Z8" i="74"/>
  <c r="V8" i="74"/>
  <c r="R8" i="74"/>
  <c r="N8" i="74"/>
  <c r="J8" i="74"/>
  <c r="F8" i="74"/>
  <c r="AG6" i="74"/>
  <c r="AE6" i="74"/>
  <c r="AM5" i="74"/>
  <c r="AK5" i="74"/>
  <c r="AH38" i="73"/>
  <c r="AP38" i="73" s="1"/>
  <c r="AG38" i="73"/>
  <c r="AN38" i="73" s="1"/>
  <c r="AF38" i="73"/>
  <c r="AL38" i="73" s="1"/>
  <c r="Z38" i="73"/>
  <c r="V38" i="73"/>
  <c r="R38" i="73"/>
  <c r="N38" i="73"/>
  <c r="J38" i="73"/>
  <c r="F38" i="73"/>
  <c r="AH37" i="73"/>
  <c r="AP37" i="73" s="1"/>
  <c r="AG37" i="73"/>
  <c r="AN37" i="73" s="1"/>
  <c r="AF37" i="73"/>
  <c r="AL37" i="73" s="1"/>
  <c r="Z37" i="73"/>
  <c r="V37" i="73"/>
  <c r="R37" i="73"/>
  <c r="N37" i="73"/>
  <c r="J37" i="73"/>
  <c r="F37" i="73"/>
  <c r="AH36" i="73"/>
  <c r="AP36" i="73" s="1"/>
  <c r="AG36" i="73"/>
  <c r="AN36" i="73" s="1"/>
  <c r="AF36" i="73"/>
  <c r="AL36" i="73" s="1"/>
  <c r="Z36" i="73"/>
  <c r="V36" i="73"/>
  <c r="R36" i="73"/>
  <c r="N36" i="73"/>
  <c r="J36" i="73"/>
  <c r="F36" i="73"/>
  <c r="AH35" i="73"/>
  <c r="AP35" i="73" s="1"/>
  <c r="AG35" i="73"/>
  <c r="AN35" i="73" s="1"/>
  <c r="AF35" i="73"/>
  <c r="AL35" i="73" s="1"/>
  <c r="Z35" i="73"/>
  <c r="V35" i="73"/>
  <c r="R35" i="73"/>
  <c r="N35" i="73"/>
  <c r="J35" i="73"/>
  <c r="F35" i="73"/>
  <c r="AH34" i="73"/>
  <c r="AP34" i="73" s="1"/>
  <c r="AG34" i="73"/>
  <c r="AN34" i="73" s="1"/>
  <c r="AF34" i="73"/>
  <c r="AL34" i="73" s="1"/>
  <c r="Z34" i="73"/>
  <c r="V34" i="73"/>
  <c r="R34" i="73"/>
  <c r="N34" i="73"/>
  <c r="J34" i="73"/>
  <c r="F34" i="73"/>
  <c r="AH33" i="73"/>
  <c r="AP33" i="73" s="1"/>
  <c r="AG33" i="73"/>
  <c r="AN33" i="73" s="1"/>
  <c r="AF33" i="73"/>
  <c r="AL33" i="73" s="1"/>
  <c r="Z33" i="73"/>
  <c r="V33" i="73"/>
  <c r="R33" i="73"/>
  <c r="N33" i="73"/>
  <c r="J33" i="73"/>
  <c r="F33" i="73"/>
  <c r="AH32" i="73"/>
  <c r="AP32" i="73" s="1"/>
  <c r="AG32" i="73"/>
  <c r="AN32" i="73" s="1"/>
  <c r="AF32" i="73"/>
  <c r="AL32" i="73" s="1"/>
  <c r="Z32" i="73"/>
  <c r="V32" i="73"/>
  <c r="R32" i="73"/>
  <c r="N32" i="73"/>
  <c r="J32" i="73"/>
  <c r="F32" i="73"/>
  <c r="AH31" i="73"/>
  <c r="AP31" i="73" s="1"/>
  <c r="AG31" i="73"/>
  <c r="AN31" i="73" s="1"/>
  <c r="AF31" i="73"/>
  <c r="AL31" i="73" s="1"/>
  <c r="Z31" i="73"/>
  <c r="V31" i="73"/>
  <c r="R31" i="73"/>
  <c r="N31" i="73"/>
  <c r="J31" i="73"/>
  <c r="F31" i="73"/>
  <c r="AH30" i="73"/>
  <c r="AP30" i="73" s="1"/>
  <c r="AG30" i="73"/>
  <c r="AN30" i="73" s="1"/>
  <c r="AF30" i="73"/>
  <c r="AL30" i="73" s="1"/>
  <c r="Z30" i="73"/>
  <c r="V30" i="73"/>
  <c r="R30" i="73"/>
  <c r="N30" i="73"/>
  <c r="J30" i="73"/>
  <c r="F30" i="73"/>
  <c r="AH29" i="73"/>
  <c r="AP29" i="73" s="1"/>
  <c r="AG29" i="73"/>
  <c r="AN29" i="73" s="1"/>
  <c r="AF29" i="73"/>
  <c r="AL29" i="73" s="1"/>
  <c r="Z29" i="73"/>
  <c r="V29" i="73"/>
  <c r="R29" i="73"/>
  <c r="N29" i="73"/>
  <c r="J29" i="73"/>
  <c r="F29" i="73"/>
  <c r="AH28" i="73"/>
  <c r="AP28" i="73" s="1"/>
  <c r="AG28" i="73"/>
  <c r="AN28" i="73" s="1"/>
  <c r="AF28" i="73"/>
  <c r="AL28" i="73" s="1"/>
  <c r="Z28" i="73"/>
  <c r="V28" i="73"/>
  <c r="R28" i="73"/>
  <c r="N28" i="73"/>
  <c r="J28" i="73"/>
  <c r="F28" i="73"/>
  <c r="AH27" i="73"/>
  <c r="AP27" i="73" s="1"/>
  <c r="AG27" i="73"/>
  <c r="AN27" i="73" s="1"/>
  <c r="AF27" i="73"/>
  <c r="AL27" i="73" s="1"/>
  <c r="Z27" i="73"/>
  <c r="V27" i="73"/>
  <c r="R27" i="73"/>
  <c r="N27" i="73"/>
  <c r="J27" i="73"/>
  <c r="F27" i="73"/>
  <c r="AH26" i="73"/>
  <c r="AP26" i="73" s="1"/>
  <c r="AG26" i="73"/>
  <c r="AN26" i="73" s="1"/>
  <c r="AF26" i="73"/>
  <c r="AL26" i="73" s="1"/>
  <c r="Z26" i="73"/>
  <c r="V26" i="73"/>
  <c r="R26" i="73"/>
  <c r="N26" i="73"/>
  <c r="J26" i="73"/>
  <c r="F26" i="73"/>
  <c r="AH25" i="73"/>
  <c r="AP25" i="73" s="1"/>
  <c r="AG25" i="73"/>
  <c r="AN25" i="73" s="1"/>
  <c r="AF25" i="73"/>
  <c r="AL25" i="73" s="1"/>
  <c r="Z25" i="73"/>
  <c r="V25" i="73"/>
  <c r="R25" i="73"/>
  <c r="N25" i="73"/>
  <c r="J25" i="73"/>
  <c r="F25" i="73"/>
  <c r="AH24" i="73"/>
  <c r="AP24" i="73" s="1"/>
  <c r="AG24" i="73"/>
  <c r="AN24" i="73" s="1"/>
  <c r="AF24" i="73"/>
  <c r="AL24" i="73" s="1"/>
  <c r="Z24" i="73"/>
  <c r="V24" i="73"/>
  <c r="R24" i="73"/>
  <c r="N24" i="73"/>
  <c r="J24" i="73"/>
  <c r="F24" i="73"/>
  <c r="AH23" i="73"/>
  <c r="AP23" i="73" s="1"/>
  <c r="AG23" i="73"/>
  <c r="AN23" i="73" s="1"/>
  <c r="AF23" i="73"/>
  <c r="AL23" i="73" s="1"/>
  <c r="Z23" i="73"/>
  <c r="V23" i="73"/>
  <c r="R23" i="73"/>
  <c r="N23" i="73"/>
  <c r="J23" i="73"/>
  <c r="F23" i="73"/>
  <c r="AH22" i="73"/>
  <c r="AP22" i="73" s="1"/>
  <c r="AG22" i="73"/>
  <c r="AN22" i="73" s="1"/>
  <c r="AF22" i="73"/>
  <c r="AL22" i="73" s="1"/>
  <c r="Z22" i="73"/>
  <c r="V22" i="73"/>
  <c r="R22" i="73"/>
  <c r="N22" i="73"/>
  <c r="J22" i="73"/>
  <c r="F22" i="73"/>
  <c r="AH21" i="73"/>
  <c r="AP21" i="73" s="1"/>
  <c r="AG21" i="73"/>
  <c r="AN21" i="73" s="1"/>
  <c r="AF21" i="73"/>
  <c r="AL21" i="73" s="1"/>
  <c r="Z21" i="73"/>
  <c r="V21" i="73"/>
  <c r="R21" i="73"/>
  <c r="N21" i="73"/>
  <c r="J21" i="73"/>
  <c r="F21" i="73"/>
  <c r="AH20" i="73"/>
  <c r="AP20" i="73" s="1"/>
  <c r="AG20" i="73"/>
  <c r="AN20" i="73" s="1"/>
  <c r="AF20" i="73"/>
  <c r="AL20" i="73" s="1"/>
  <c r="Z20" i="73"/>
  <c r="V20" i="73"/>
  <c r="R20" i="73"/>
  <c r="N20" i="73"/>
  <c r="J20" i="73"/>
  <c r="F20" i="73"/>
  <c r="AH19" i="73"/>
  <c r="AP19" i="73" s="1"/>
  <c r="AG19" i="73"/>
  <c r="AN19" i="73" s="1"/>
  <c r="AF19" i="73"/>
  <c r="AL19" i="73" s="1"/>
  <c r="Z19" i="73"/>
  <c r="V19" i="73"/>
  <c r="R19" i="73"/>
  <c r="N19" i="73"/>
  <c r="J19" i="73"/>
  <c r="F19" i="73"/>
  <c r="AH18" i="73"/>
  <c r="AP18" i="73" s="1"/>
  <c r="AG18" i="73"/>
  <c r="AN18" i="73" s="1"/>
  <c r="AF18" i="73"/>
  <c r="AL18" i="73" s="1"/>
  <c r="Z18" i="73"/>
  <c r="V18" i="73"/>
  <c r="R18" i="73"/>
  <c r="N18" i="73"/>
  <c r="J18" i="73"/>
  <c r="F18" i="73"/>
  <c r="AH17" i="73"/>
  <c r="AP17" i="73" s="1"/>
  <c r="AG17" i="73"/>
  <c r="AN17" i="73" s="1"/>
  <c r="AF17" i="73"/>
  <c r="AL17" i="73" s="1"/>
  <c r="Z17" i="73"/>
  <c r="V17" i="73"/>
  <c r="R17" i="73"/>
  <c r="N17" i="73"/>
  <c r="J17" i="73"/>
  <c r="F17" i="73"/>
  <c r="AH16" i="73"/>
  <c r="AP16" i="73" s="1"/>
  <c r="AG16" i="73"/>
  <c r="AN16" i="73" s="1"/>
  <c r="AF16" i="73"/>
  <c r="AL16" i="73" s="1"/>
  <c r="Z16" i="73"/>
  <c r="V16" i="73"/>
  <c r="R16" i="73"/>
  <c r="N16" i="73"/>
  <c r="J16" i="73"/>
  <c r="F16" i="73"/>
  <c r="AH15" i="73"/>
  <c r="AP15" i="73" s="1"/>
  <c r="AG15" i="73"/>
  <c r="AN15" i="73" s="1"/>
  <c r="AF15" i="73"/>
  <c r="AL15" i="73" s="1"/>
  <c r="Z15" i="73"/>
  <c r="V15" i="73"/>
  <c r="R15" i="73"/>
  <c r="N15" i="73"/>
  <c r="J15" i="73"/>
  <c r="F15" i="73"/>
  <c r="AH14" i="73"/>
  <c r="AP14" i="73" s="1"/>
  <c r="AG14" i="73"/>
  <c r="AN14" i="73" s="1"/>
  <c r="AF14" i="73"/>
  <c r="AL14" i="73" s="1"/>
  <c r="Z14" i="73"/>
  <c r="V14" i="73"/>
  <c r="R14" i="73"/>
  <c r="N14" i="73"/>
  <c r="J14" i="73"/>
  <c r="F14" i="73"/>
  <c r="AH13" i="73"/>
  <c r="AP13" i="73" s="1"/>
  <c r="AG13" i="73"/>
  <c r="AN13" i="73" s="1"/>
  <c r="AF13" i="73"/>
  <c r="AL13" i="73" s="1"/>
  <c r="Z13" i="73"/>
  <c r="V13" i="73"/>
  <c r="R13" i="73"/>
  <c r="N13" i="73"/>
  <c r="J13" i="73"/>
  <c r="F13" i="73"/>
  <c r="AH12" i="73"/>
  <c r="AP12" i="73" s="1"/>
  <c r="AG12" i="73"/>
  <c r="AN12" i="73" s="1"/>
  <c r="AF12" i="73"/>
  <c r="AL12" i="73" s="1"/>
  <c r="Z12" i="73"/>
  <c r="V12" i="73"/>
  <c r="R12" i="73"/>
  <c r="N12" i="73"/>
  <c r="J12" i="73"/>
  <c r="F12" i="73"/>
  <c r="AH11" i="73"/>
  <c r="AP11" i="73" s="1"/>
  <c r="AG11" i="73"/>
  <c r="AN11" i="73" s="1"/>
  <c r="AF11" i="73"/>
  <c r="AL11" i="73" s="1"/>
  <c r="Z11" i="73"/>
  <c r="V11" i="73"/>
  <c r="R11" i="73"/>
  <c r="N11" i="73"/>
  <c r="J11" i="73"/>
  <c r="F11" i="73"/>
  <c r="AH10" i="73"/>
  <c r="AP10" i="73" s="1"/>
  <c r="AG10" i="73"/>
  <c r="AN10" i="73" s="1"/>
  <c r="AF10" i="73"/>
  <c r="AL10" i="73" s="1"/>
  <c r="Z10" i="73"/>
  <c r="V10" i="73"/>
  <c r="R10" i="73"/>
  <c r="N10" i="73"/>
  <c r="J10" i="73"/>
  <c r="F10" i="73"/>
  <c r="AH9" i="73"/>
  <c r="AP9" i="73" s="1"/>
  <c r="AG9" i="73"/>
  <c r="AN9" i="73" s="1"/>
  <c r="AF9" i="73"/>
  <c r="AL9" i="73" s="1"/>
  <c r="Z9" i="73"/>
  <c r="V9" i="73"/>
  <c r="R9" i="73"/>
  <c r="N9" i="73"/>
  <c r="J9" i="73"/>
  <c r="F9" i="73"/>
  <c r="AH8" i="73"/>
  <c r="AG8" i="73"/>
  <c r="AN8" i="73" s="1"/>
  <c r="AF8" i="73"/>
  <c r="AL8" i="73" s="1"/>
  <c r="Z8" i="73"/>
  <c r="V8" i="73"/>
  <c r="R8" i="73"/>
  <c r="N8" i="73"/>
  <c r="J8" i="73"/>
  <c r="F8" i="73"/>
  <c r="AG6" i="73"/>
  <c r="AE6" i="73"/>
  <c r="AM5" i="73"/>
  <c r="AK5" i="73"/>
  <c r="AH38" i="72"/>
  <c r="AP38" i="72" s="1"/>
  <c r="AG38" i="72"/>
  <c r="AN38" i="72" s="1"/>
  <c r="AF38" i="72"/>
  <c r="AL38" i="72" s="1"/>
  <c r="Z38" i="72"/>
  <c r="V38" i="72"/>
  <c r="R38" i="72"/>
  <c r="N38" i="72"/>
  <c r="J38" i="72"/>
  <c r="F38" i="72"/>
  <c r="AH37" i="72"/>
  <c r="AP37" i="72" s="1"/>
  <c r="AG37" i="72"/>
  <c r="AN37" i="72" s="1"/>
  <c r="AF37" i="72"/>
  <c r="AL37" i="72" s="1"/>
  <c r="Z37" i="72"/>
  <c r="V37" i="72"/>
  <c r="R37" i="72"/>
  <c r="N37" i="72"/>
  <c r="J37" i="72"/>
  <c r="F37" i="72"/>
  <c r="AH36" i="72"/>
  <c r="AP36" i="72" s="1"/>
  <c r="AG36" i="72"/>
  <c r="AN36" i="72" s="1"/>
  <c r="AF36" i="72"/>
  <c r="AL36" i="72" s="1"/>
  <c r="Z36" i="72"/>
  <c r="V36" i="72"/>
  <c r="R36" i="72"/>
  <c r="N36" i="72"/>
  <c r="J36" i="72"/>
  <c r="F36" i="72"/>
  <c r="AH35" i="72"/>
  <c r="AP35" i="72" s="1"/>
  <c r="AG35" i="72"/>
  <c r="AN35" i="72" s="1"/>
  <c r="AF35" i="72"/>
  <c r="AL35" i="72" s="1"/>
  <c r="Z35" i="72"/>
  <c r="V35" i="72"/>
  <c r="R35" i="72"/>
  <c r="N35" i="72"/>
  <c r="J35" i="72"/>
  <c r="F35" i="72"/>
  <c r="AH34" i="72"/>
  <c r="AP34" i="72" s="1"/>
  <c r="AG34" i="72"/>
  <c r="AN34" i="72" s="1"/>
  <c r="AF34" i="72"/>
  <c r="AL34" i="72" s="1"/>
  <c r="Z34" i="72"/>
  <c r="V34" i="72"/>
  <c r="R34" i="72"/>
  <c r="N34" i="72"/>
  <c r="J34" i="72"/>
  <c r="F34" i="72"/>
  <c r="AH33" i="72"/>
  <c r="AP33" i="72" s="1"/>
  <c r="AG33" i="72"/>
  <c r="AN33" i="72" s="1"/>
  <c r="AF33" i="72"/>
  <c r="AL33" i="72" s="1"/>
  <c r="Z33" i="72"/>
  <c r="V33" i="72"/>
  <c r="R33" i="72"/>
  <c r="N33" i="72"/>
  <c r="J33" i="72"/>
  <c r="F33" i="72"/>
  <c r="AH32" i="72"/>
  <c r="AP32" i="72" s="1"/>
  <c r="AG32" i="72"/>
  <c r="AN32" i="72" s="1"/>
  <c r="AF32" i="72"/>
  <c r="AL32" i="72" s="1"/>
  <c r="Z32" i="72"/>
  <c r="V32" i="72"/>
  <c r="R32" i="72"/>
  <c r="N32" i="72"/>
  <c r="J32" i="72"/>
  <c r="F32" i="72"/>
  <c r="AH31" i="72"/>
  <c r="AP31" i="72" s="1"/>
  <c r="AG31" i="72"/>
  <c r="AN31" i="72" s="1"/>
  <c r="AF31" i="72"/>
  <c r="AL31" i="72" s="1"/>
  <c r="Z31" i="72"/>
  <c r="V31" i="72"/>
  <c r="R31" i="72"/>
  <c r="N31" i="72"/>
  <c r="J31" i="72"/>
  <c r="F31" i="72"/>
  <c r="AH30" i="72"/>
  <c r="AP30" i="72" s="1"/>
  <c r="AG30" i="72"/>
  <c r="AN30" i="72" s="1"/>
  <c r="AF30" i="72"/>
  <c r="AL30" i="72" s="1"/>
  <c r="Z30" i="72"/>
  <c r="V30" i="72"/>
  <c r="R30" i="72"/>
  <c r="N30" i="72"/>
  <c r="J30" i="72"/>
  <c r="F30" i="72"/>
  <c r="AH29" i="72"/>
  <c r="AP29" i="72" s="1"/>
  <c r="AG29" i="72"/>
  <c r="AN29" i="72" s="1"/>
  <c r="AF29" i="72"/>
  <c r="AL29" i="72" s="1"/>
  <c r="Z29" i="72"/>
  <c r="V29" i="72"/>
  <c r="R29" i="72"/>
  <c r="N29" i="72"/>
  <c r="J29" i="72"/>
  <c r="F29" i="72"/>
  <c r="AH28" i="72"/>
  <c r="AP28" i="72" s="1"/>
  <c r="AG28" i="72"/>
  <c r="AN28" i="72" s="1"/>
  <c r="AF28" i="72"/>
  <c r="AL28" i="72" s="1"/>
  <c r="Z28" i="72"/>
  <c r="V28" i="72"/>
  <c r="R28" i="72"/>
  <c r="N28" i="72"/>
  <c r="J28" i="72"/>
  <c r="F28" i="72"/>
  <c r="AH27" i="72"/>
  <c r="AP27" i="72" s="1"/>
  <c r="AG27" i="72"/>
  <c r="AN27" i="72" s="1"/>
  <c r="AF27" i="72"/>
  <c r="AL27" i="72" s="1"/>
  <c r="Z27" i="72"/>
  <c r="V27" i="72"/>
  <c r="R27" i="72"/>
  <c r="N27" i="72"/>
  <c r="J27" i="72"/>
  <c r="F27" i="72"/>
  <c r="AH26" i="72"/>
  <c r="AP26" i="72" s="1"/>
  <c r="AG26" i="72"/>
  <c r="AN26" i="72" s="1"/>
  <c r="AF26" i="72"/>
  <c r="AL26" i="72" s="1"/>
  <c r="Z26" i="72"/>
  <c r="V26" i="72"/>
  <c r="R26" i="72"/>
  <c r="N26" i="72"/>
  <c r="J26" i="72"/>
  <c r="F26" i="72"/>
  <c r="AH25" i="72"/>
  <c r="AP25" i="72" s="1"/>
  <c r="AG25" i="72"/>
  <c r="AN25" i="72" s="1"/>
  <c r="AF25" i="72"/>
  <c r="AL25" i="72" s="1"/>
  <c r="Z25" i="72"/>
  <c r="V25" i="72"/>
  <c r="R25" i="72"/>
  <c r="N25" i="72"/>
  <c r="J25" i="72"/>
  <c r="F25" i="72"/>
  <c r="AH24" i="72"/>
  <c r="AP24" i="72" s="1"/>
  <c r="AG24" i="72"/>
  <c r="AN24" i="72" s="1"/>
  <c r="AF24" i="72"/>
  <c r="AL24" i="72" s="1"/>
  <c r="Z24" i="72"/>
  <c r="V24" i="72"/>
  <c r="R24" i="72"/>
  <c r="N24" i="72"/>
  <c r="J24" i="72"/>
  <c r="F24" i="72"/>
  <c r="AH23" i="72"/>
  <c r="AP23" i="72" s="1"/>
  <c r="AG23" i="72"/>
  <c r="AN23" i="72" s="1"/>
  <c r="AF23" i="72"/>
  <c r="AL23" i="72" s="1"/>
  <c r="Z23" i="72"/>
  <c r="V23" i="72"/>
  <c r="R23" i="72"/>
  <c r="N23" i="72"/>
  <c r="J23" i="72"/>
  <c r="F23" i="72"/>
  <c r="AH22" i="72"/>
  <c r="AP22" i="72" s="1"/>
  <c r="AG22" i="72"/>
  <c r="AN22" i="72" s="1"/>
  <c r="AF22" i="72"/>
  <c r="AL22" i="72" s="1"/>
  <c r="Z22" i="72"/>
  <c r="V22" i="72"/>
  <c r="R22" i="72"/>
  <c r="N22" i="72"/>
  <c r="J22" i="72"/>
  <c r="F22" i="72"/>
  <c r="AH21" i="72"/>
  <c r="AP21" i="72" s="1"/>
  <c r="AG21" i="72"/>
  <c r="AN21" i="72" s="1"/>
  <c r="AF21" i="72"/>
  <c r="AL21" i="72" s="1"/>
  <c r="Z21" i="72"/>
  <c r="V21" i="72"/>
  <c r="R21" i="72"/>
  <c r="N21" i="72"/>
  <c r="J21" i="72"/>
  <c r="F21" i="72"/>
  <c r="AH20" i="72"/>
  <c r="AP20" i="72" s="1"/>
  <c r="AG20" i="72"/>
  <c r="AN20" i="72" s="1"/>
  <c r="AF20" i="72"/>
  <c r="AL20" i="72" s="1"/>
  <c r="Z20" i="72"/>
  <c r="V20" i="72"/>
  <c r="R20" i="72"/>
  <c r="N20" i="72"/>
  <c r="J20" i="72"/>
  <c r="F20" i="72"/>
  <c r="AH19" i="72"/>
  <c r="AP19" i="72" s="1"/>
  <c r="AG19" i="72"/>
  <c r="AN19" i="72" s="1"/>
  <c r="AF19" i="72"/>
  <c r="AL19" i="72" s="1"/>
  <c r="Z19" i="72"/>
  <c r="V19" i="72"/>
  <c r="R19" i="72"/>
  <c r="N19" i="72"/>
  <c r="J19" i="72"/>
  <c r="F19" i="72"/>
  <c r="AH18" i="72"/>
  <c r="AP18" i="72" s="1"/>
  <c r="AG18" i="72"/>
  <c r="AN18" i="72" s="1"/>
  <c r="AF18" i="72"/>
  <c r="AL18" i="72" s="1"/>
  <c r="Z18" i="72"/>
  <c r="V18" i="72"/>
  <c r="R18" i="72"/>
  <c r="N18" i="72"/>
  <c r="J18" i="72"/>
  <c r="F18" i="72"/>
  <c r="AH17" i="72"/>
  <c r="AP17" i="72" s="1"/>
  <c r="AG17" i="72"/>
  <c r="AN17" i="72" s="1"/>
  <c r="AF17" i="72"/>
  <c r="AL17" i="72" s="1"/>
  <c r="Z17" i="72"/>
  <c r="V17" i="72"/>
  <c r="R17" i="72"/>
  <c r="N17" i="72"/>
  <c r="J17" i="72"/>
  <c r="F17" i="72"/>
  <c r="AH16" i="72"/>
  <c r="AP16" i="72" s="1"/>
  <c r="AG16" i="72"/>
  <c r="AN16" i="72" s="1"/>
  <c r="AF16" i="72"/>
  <c r="AL16" i="72" s="1"/>
  <c r="Z16" i="72"/>
  <c r="V16" i="72"/>
  <c r="R16" i="72"/>
  <c r="N16" i="72"/>
  <c r="J16" i="72"/>
  <c r="F16" i="72"/>
  <c r="AH15" i="72"/>
  <c r="AP15" i="72" s="1"/>
  <c r="AG15" i="72"/>
  <c r="AN15" i="72" s="1"/>
  <c r="AF15" i="72"/>
  <c r="AL15" i="72" s="1"/>
  <c r="Z15" i="72"/>
  <c r="V15" i="72"/>
  <c r="R15" i="72"/>
  <c r="N15" i="72"/>
  <c r="J15" i="72"/>
  <c r="F15" i="72"/>
  <c r="AH14" i="72"/>
  <c r="AP14" i="72" s="1"/>
  <c r="AG14" i="72"/>
  <c r="AN14" i="72" s="1"/>
  <c r="AF14" i="72"/>
  <c r="AL14" i="72" s="1"/>
  <c r="Z14" i="72"/>
  <c r="V14" i="72"/>
  <c r="R14" i="72"/>
  <c r="N14" i="72"/>
  <c r="J14" i="72"/>
  <c r="F14" i="72"/>
  <c r="AH13" i="72"/>
  <c r="AP13" i="72" s="1"/>
  <c r="AG13" i="72"/>
  <c r="AN13" i="72" s="1"/>
  <c r="AF13" i="72"/>
  <c r="AL13" i="72" s="1"/>
  <c r="Z13" i="72"/>
  <c r="V13" i="72"/>
  <c r="R13" i="72"/>
  <c r="N13" i="72"/>
  <c r="J13" i="72"/>
  <c r="F13" i="72"/>
  <c r="AH12" i="72"/>
  <c r="AP12" i="72" s="1"/>
  <c r="AG12" i="72"/>
  <c r="AN12" i="72" s="1"/>
  <c r="AF12" i="72"/>
  <c r="AL12" i="72" s="1"/>
  <c r="Z12" i="72"/>
  <c r="V12" i="72"/>
  <c r="R12" i="72"/>
  <c r="N12" i="72"/>
  <c r="J12" i="72"/>
  <c r="F12" i="72"/>
  <c r="AH11" i="72"/>
  <c r="AP11" i="72" s="1"/>
  <c r="AG11" i="72"/>
  <c r="AN11" i="72" s="1"/>
  <c r="AF11" i="72"/>
  <c r="AL11" i="72" s="1"/>
  <c r="Z11" i="72"/>
  <c r="V11" i="72"/>
  <c r="R11" i="72"/>
  <c r="N11" i="72"/>
  <c r="J11" i="72"/>
  <c r="F11" i="72"/>
  <c r="AH10" i="72"/>
  <c r="AP10" i="72" s="1"/>
  <c r="AG10" i="72"/>
  <c r="AN10" i="72" s="1"/>
  <c r="AF10" i="72"/>
  <c r="AL10" i="72" s="1"/>
  <c r="Z10" i="72"/>
  <c r="V10" i="72"/>
  <c r="R10" i="72"/>
  <c r="N10" i="72"/>
  <c r="J10" i="72"/>
  <c r="F10" i="72"/>
  <c r="AH9" i="72"/>
  <c r="AP9" i="72" s="1"/>
  <c r="AG9" i="72"/>
  <c r="AN9" i="72" s="1"/>
  <c r="AF9" i="72"/>
  <c r="AL9" i="72" s="1"/>
  <c r="Z9" i="72"/>
  <c r="V9" i="72"/>
  <c r="R9" i="72"/>
  <c r="N9" i="72"/>
  <c r="J9" i="72"/>
  <c r="F9" i="72"/>
  <c r="AH8" i="72"/>
  <c r="AP8" i="72" s="1"/>
  <c r="AG8" i="72"/>
  <c r="AN8" i="72" s="1"/>
  <c r="AF8" i="72"/>
  <c r="AL8" i="72" s="1"/>
  <c r="Z8" i="72"/>
  <c r="V8" i="72"/>
  <c r="R8" i="72"/>
  <c r="N8" i="72"/>
  <c r="J8" i="72"/>
  <c r="F8" i="72"/>
  <c r="AG6" i="72"/>
  <c r="AE6" i="72"/>
  <c r="AM5" i="72"/>
  <c r="AK5" i="72"/>
  <c r="AH38" i="71"/>
  <c r="AP38" i="71" s="1"/>
  <c r="AG38" i="71"/>
  <c r="AN38" i="71" s="1"/>
  <c r="AF38" i="71"/>
  <c r="AL38" i="71" s="1"/>
  <c r="Z38" i="71"/>
  <c r="V38" i="71"/>
  <c r="R38" i="71"/>
  <c r="N38" i="71"/>
  <c r="J38" i="71"/>
  <c r="F38" i="71"/>
  <c r="AH37" i="71"/>
  <c r="AP37" i="71" s="1"/>
  <c r="AG37" i="71"/>
  <c r="AN37" i="71" s="1"/>
  <c r="AF37" i="71"/>
  <c r="AL37" i="71" s="1"/>
  <c r="Z37" i="71"/>
  <c r="V37" i="71"/>
  <c r="R37" i="71"/>
  <c r="N37" i="71"/>
  <c r="J37" i="71"/>
  <c r="F37" i="71"/>
  <c r="AH36" i="71"/>
  <c r="AP36" i="71" s="1"/>
  <c r="AG36" i="71"/>
  <c r="AN36" i="71" s="1"/>
  <c r="AF36" i="71"/>
  <c r="AL36" i="71" s="1"/>
  <c r="Z36" i="71"/>
  <c r="V36" i="71"/>
  <c r="R36" i="71"/>
  <c r="N36" i="71"/>
  <c r="J36" i="71"/>
  <c r="F36" i="71"/>
  <c r="AH35" i="71"/>
  <c r="AP35" i="71" s="1"/>
  <c r="AG35" i="71"/>
  <c r="AN35" i="71" s="1"/>
  <c r="AF35" i="71"/>
  <c r="AL35" i="71" s="1"/>
  <c r="Z35" i="71"/>
  <c r="V35" i="71"/>
  <c r="R35" i="71"/>
  <c r="N35" i="71"/>
  <c r="J35" i="71"/>
  <c r="F35" i="71"/>
  <c r="AH34" i="71"/>
  <c r="AP34" i="71" s="1"/>
  <c r="AG34" i="71"/>
  <c r="AN34" i="71" s="1"/>
  <c r="AF34" i="71"/>
  <c r="AL34" i="71" s="1"/>
  <c r="Z34" i="71"/>
  <c r="V34" i="71"/>
  <c r="R34" i="71"/>
  <c r="N34" i="71"/>
  <c r="J34" i="71"/>
  <c r="F34" i="71"/>
  <c r="AH33" i="71"/>
  <c r="AP33" i="71" s="1"/>
  <c r="AG33" i="71"/>
  <c r="AN33" i="71" s="1"/>
  <c r="AF33" i="71"/>
  <c r="AL33" i="71" s="1"/>
  <c r="Z33" i="71"/>
  <c r="V33" i="71"/>
  <c r="R33" i="71"/>
  <c r="N33" i="71"/>
  <c r="J33" i="71"/>
  <c r="F33" i="71"/>
  <c r="AH32" i="71"/>
  <c r="AP32" i="71" s="1"/>
  <c r="AG32" i="71"/>
  <c r="AN32" i="71" s="1"/>
  <c r="AF32" i="71"/>
  <c r="AL32" i="71" s="1"/>
  <c r="Z32" i="71"/>
  <c r="V32" i="71"/>
  <c r="R32" i="71"/>
  <c r="N32" i="71"/>
  <c r="J32" i="71"/>
  <c r="F32" i="71"/>
  <c r="AH31" i="71"/>
  <c r="AP31" i="71" s="1"/>
  <c r="AG31" i="71"/>
  <c r="AN31" i="71" s="1"/>
  <c r="AF31" i="71"/>
  <c r="AL31" i="71" s="1"/>
  <c r="Z31" i="71"/>
  <c r="V31" i="71"/>
  <c r="R31" i="71"/>
  <c r="N31" i="71"/>
  <c r="J31" i="71"/>
  <c r="F31" i="71"/>
  <c r="AH30" i="71"/>
  <c r="AP30" i="71" s="1"/>
  <c r="AG30" i="71"/>
  <c r="AN30" i="71" s="1"/>
  <c r="AF30" i="71"/>
  <c r="AL30" i="71" s="1"/>
  <c r="Z30" i="71"/>
  <c r="V30" i="71"/>
  <c r="R30" i="71"/>
  <c r="N30" i="71"/>
  <c r="J30" i="71"/>
  <c r="F30" i="71"/>
  <c r="AH29" i="71"/>
  <c r="AP29" i="71" s="1"/>
  <c r="AG29" i="71"/>
  <c r="AN29" i="71" s="1"/>
  <c r="AF29" i="71"/>
  <c r="AL29" i="71" s="1"/>
  <c r="Z29" i="71"/>
  <c r="V29" i="71"/>
  <c r="R29" i="71"/>
  <c r="N29" i="71"/>
  <c r="J29" i="71"/>
  <c r="F29" i="71"/>
  <c r="AH28" i="71"/>
  <c r="AP28" i="71" s="1"/>
  <c r="AG28" i="71"/>
  <c r="AN28" i="71" s="1"/>
  <c r="AF28" i="71"/>
  <c r="AL28" i="71" s="1"/>
  <c r="Z28" i="71"/>
  <c r="V28" i="71"/>
  <c r="R28" i="71"/>
  <c r="N28" i="71"/>
  <c r="J28" i="71"/>
  <c r="F28" i="71"/>
  <c r="AH27" i="71"/>
  <c r="AP27" i="71" s="1"/>
  <c r="AG27" i="71"/>
  <c r="AN27" i="71" s="1"/>
  <c r="AF27" i="71"/>
  <c r="AL27" i="71" s="1"/>
  <c r="Z27" i="71"/>
  <c r="V27" i="71"/>
  <c r="R27" i="71"/>
  <c r="N27" i="71"/>
  <c r="J27" i="71"/>
  <c r="F27" i="71"/>
  <c r="AH26" i="71"/>
  <c r="AP26" i="71" s="1"/>
  <c r="AG26" i="71"/>
  <c r="AN26" i="71" s="1"/>
  <c r="AF26" i="71"/>
  <c r="AL26" i="71" s="1"/>
  <c r="Z26" i="71"/>
  <c r="V26" i="71"/>
  <c r="R26" i="71"/>
  <c r="N26" i="71"/>
  <c r="J26" i="71"/>
  <c r="F26" i="71"/>
  <c r="AH25" i="71"/>
  <c r="AP25" i="71" s="1"/>
  <c r="AG25" i="71"/>
  <c r="AN25" i="71" s="1"/>
  <c r="AF25" i="71"/>
  <c r="AL25" i="71" s="1"/>
  <c r="Z25" i="71"/>
  <c r="V25" i="71"/>
  <c r="R25" i="71"/>
  <c r="N25" i="71"/>
  <c r="J25" i="71"/>
  <c r="F25" i="71"/>
  <c r="AH24" i="71"/>
  <c r="AP24" i="71" s="1"/>
  <c r="AG24" i="71"/>
  <c r="AN24" i="71" s="1"/>
  <c r="AF24" i="71"/>
  <c r="AL24" i="71" s="1"/>
  <c r="Z24" i="71"/>
  <c r="V24" i="71"/>
  <c r="R24" i="71"/>
  <c r="N24" i="71"/>
  <c r="J24" i="71"/>
  <c r="F24" i="71"/>
  <c r="AH23" i="71"/>
  <c r="AP23" i="71" s="1"/>
  <c r="AG23" i="71"/>
  <c r="AN23" i="71" s="1"/>
  <c r="AF23" i="71"/>
  <c r="AL23" i="71" s="1"/>
  <c r="Z23" i="71"/>
  <c r="V23" i="71"/>
  <c r="R23" i="71"/>
  <c r="N23" i="71"/>
  <c r="J23" i="71"/>
  <c r="F23" i="71"/>
  <c r="AH22" i="71"/>
  <c r="AP22" i="71" s="1"/>
  <c r="AG22" i="71"/>
  <c r="AN22" i="71" s="1"/>
  <c r="AF22" i="71"/>
  <c r="AL22" i="71" s="1"/>
  <c r="Z22" i="71"/>
  <c r="V22" i="71"/>
  <c r="R22" i="71"/>
  <c r="N22" i="71"/>
  <c r="J22" i="71"/>
  <c r="F22" i="71"/>
  <c r="AH21" i="71"/>
  <c r="AP21" i="71" s="1"/>
  <c r="AG21" i="71"/>
  <c r="AN21" i="71" s="1"/>
  <c r="AF21" i="71"/>
  <c r="AL21" i="71" s="1"/>
  <c r="Z21" i="71"/>
  <c r="V21" i="71"/>
  <c r="R21" i="71"/>
  <c r="N21" i="71"/>
  <c r="J21" i="71"/>
  <c r="F21" i="71"/>
  <c r="AH20" i="71"/>
  <c r="AP20" i="71" s="1"/>
  <c r="AG20" i="71"/>
  <c r="AN20" i="71" s="1"/>
  <c r="AF20" i="71"/>
  <c r="AL20" i="71" s="1"/>
  <c r="Z20" i="71"/>
  <c r="V20" i="71"/>
  <c r="R20" i="71"/>
  <c r="N20" i="71"/>
  <c r="J20" i="71"/>
  <c r="F20" i="71"/>
  <c r="AH19" i="71"/>
  <c r="AP19" i="71" s="1"/>
  <c r="AG19" i="71"/>
  <c r="AN19" i="71" s="1"/>
  <c r="AF19" i="71"/>
  <c r="AL19" i="71" s="1"/>
  <c r="Z19" i="71"/>
  <c r="V19" i="71"/>
  <c r="R19" i="71"/>
  <c r="N19" i="71"/>
  <c r="J19" i="71"/>
  <c r="F19" i="71"/>
  <c r="AH18" i="71"/>
  <c r="AP18" i="71" s="1"/>
  <c r="AG18" i="71"/>
  <c r="AN18" i="71" s="1"/>
  <c r="AF18" i="71"/>
  <c r="AL18" i="71" s="1"/>
  <c r="Z18" i="71"/>
  <c r="V18" i="71"/>
  <c r="R18" i="71"/>
  <c r="N18" i="71"/>
  <c r="J18" i="71"/>
  <c r="F18" i="71"/>
  <c r="AH17" i="71"/>
  <c r="AP17" i="71" s="1"/>
  <c r="AG17" i="71"/>
  <c r="AN17" i="71" s="1"/>
  <c r="AF17" i="71"/>
  <c r="AL17" i="71" s="1"/>
  <c r="Z17" i="71"/>
  <c r="V17" i="71"/>
  <c r="R17" i="71"/>
  <c r="N17" i="71"/>
  <c r="J17" i="71"/>
  <c r="F17" i="71"/>
  <c r="AH16" i="71"/>
  <c r="AP16" i="71" s="1"/>
  <c r="AG16" i="71"/>
  <c r="AN16" i="71" s="1"/>
  <c r="AF16" i="71"/>
  <c r="AL16" i="71" s="1"/>
  <c r="Z16" i="71"/>
  <c r="V16" i="71"/>
  <c r="R16" i="71"/>
  <c r="N16" i="71"/>
  <c r="J16" i="71"/>
  <c r="F16" i="71"/>
  <c r="AH15" i="71"/>
  <c r="AP15" i="71" s="1"/>
  <c r="AG15" i="71"/>
  <c r="AN15" i="71" s="1"/>
  <c r="AF15" i="71"/>
  <c r="AL15" i="71" s="1"/>
  <c r="Z15" i="71"/>
  <c r="V15" i="71"/>
  <c r="R15" i="71"/>
  <c r="N15" i="71"/>
  <c r="J15" i="71"/>
  <c r="F15" i="71"/>
  <c r="AH14" i="71"/>
  <c r="AP14" i="71" s="1"/>
  <c r="AG14" i="71"/>
  <c r="AN14" i="71" s="1"/>
  <c r="AF14" i="71"/>
  <c r="AL14" i="71" s="1"/>
  <c r="Z14" i="71"/>
  <c r="V14" i="71"/>
  <c r="R14" i="71"/>
  <c r="N14" i="71"/>
  <c r="J14" i="71"/>
  <c r="F14" i="71"/>
  <c r="AH13" i="71"/>
  <c r="AP13" i="71" s="1"/>
  <c r="AG13" i="71"/>
  <c r="AN13" i="71" s="1"/>
  <c r="AF13" i="71"/>
  <c r="AL13" i="71" s="1"/>
  <c r="Z13" i="71"/>
  <c r="V13" i="71"/>
  <c r="R13" i="71"/>
  <c r="N13" i="71"/>
  <c r="J13" i="71"/>
  <c r="F13" i="71"/>
  <c r="AH12" i="71"/>
  <c r="AP12" i="71" s="1"/>
  <c r="AG12" i="71"/>
  <c r="AN12" i="71" s="1"/>
  <c r="AF12" i="71"/>
  <c r="AL12" i="71" s="1"/>
  <c r="Z12" i="71"/>
  <c r="V12" i="71"/>
  <c r="R12" i="71"/>
  <c r="N12" i="71"/>
  <c r="J12" i="71"/>
  <c r="F12" i="71"/>
  <c r="AH11" i="71"/>
  <c r="AP11" i="71" s="1"/>
  <c r="AG11" i="71"/>
  <c r="AN11" i="71" s="1"/>
  <c r="AF11" i="71"/>
  <c r="AL11" i="71" s="1"/>
  <c r="Z11" i="71"/>
  <c r="V11" i="71"/>
  <c r="R11" i="71"/>
  <c r="N11" i="71"/>
  <c r="J11" i="71"/>
  <c r="F11" i="71"/>
  <c r="AH10" i="71"/>
  <c r="AP10" i="71" s="1"/>
  <c r="AG10" i="71"/>
  <c r="AN10" i="71" s="1"/>
  <c r="AF10" i="71"/>
  <c r="AL10" i="71" s="1"/>
  <c r="Z10" i="71"/>
  <c r="V10" i="71"/>
  <c r="R10" i="71"/>
  <c r="N10" i="71"/>
  <c r="J10" i="71"/>
  <c r="F10" i="71"/>
  <c r="AH9" i="71"/>
  <c r="AP9" i="71" s="1"/>
  <c r="AG9" i="71"/>
  <c r="AN9" i="71" s="1"/>
  <c r="AF9" i="71"/>
  <c r="AL9" i="71" s="1"/>
  <c r="Z9" i="71"/>
  <c r="V9" i="71"/>
  <c r="R9" i="71"/>
  <c r="N9" i="71"/>
  <c r="J9" i="71"/>
  <c r="F9" i="71"/>
  <c r="AH8" i="71"/>
  <c r="AP8" i="71" s="1"/>
  <c r="AG8" i="71"/>
  <c r="AF8" i="71"/>
  <c r="AL8" i="71" s="1"/>
  <c r="Z8" i="71"/>
  <c r="V8" i="71"/>
  <c r="R8" i="71"/>
  <c r="N8" i="71"/>
  <c r="J8" i="71"/>
  <c r="F8" i="71"/>
  <c r="AG6" i="71"/>
  <c r="AE6" i="71"/>
  <c r="AM5" i="71"/>
  <c r="AK5" i="71"/>
  <c r="AH38" i="70"/>
  <c r="AP38" i="70" s="1"/>
  <c r="AG38" i="70"/>
  <c r="AN38" i="70" s="1"/>
  <c r="AF38" i="70"/>
  <c r="AL38" i="70" s="1"/>
  <c r="Z38" i="70"/>
  <c r="V38" i="70"/>
  <c r="R38" i="70"/>
  <c r="N38" i="70"/>
  <c r="J38" i="70"/>
  <c r="F38" i="70"/>
  <c r="AH37" i="70"/>
  <c r="AP37" i="70" s="1"/>
  <c r="AG37" i="70"/>
  <c r="AN37" i="70" s="1"/>
  <c r="AF37" i="70"/>
  <c r="AL37" i="70" s="1"/>
  <c r="Z37" i="70"/>
  <c r="V37" i="70"/>
  <c r="N37" i="70"/>
  <c r="J37" i="70"/>
  <c r="F37" i="70"/>
  <c r="AH36" i="70"/>
  <c r="AP36" i="70" s="1"/>
  <c r="AG36" i="70"/>
  <c r="AN36" i="70" s="1"/>
  <c r="AF36" i="70"/>
  <c r="AL36" i="70" s="1"/>
  <c r="Z36" i="70"/>
  <c r="V36" i="70"/>
  <c r="R36" i="70"/>
  <c r="N36" i="70"/>
  <c r="J36" i="70"/>
  <c r="F36" i="70"/>
  <c r="AH35" i="70"/>
  <c r="AP35" i="70" s="1"/>
  <c r="AG35" i="70"/>
  <c r="AN35" i="70" s="1"/>
  <c r="AF35" i="70"/>
  <c r="AL35" i="70" s="1"/>
  <c r="Z35" i="70"/>
  <c r="V35" i="70"/>
  <c r="R35" i="70"/>
  <c r="N35" i="70"/>
  <c r="J35" i="70"/>
  <c r="F35" i="70"/>
  <c r="AG34" i="70"/>
  <c r="AN34" i="70" s="1"/>
  <c r="AF34" i="70"/>
  <c r="AL34" i="70" s="1"/>
  <c r="Z34" i="70"/>
  <c r="V34" i="70"/>
  <c r="R34" i="70"/>
  <c r="N34" i="70"/>
  <c r="J34" i="70"/>
  <c r="F34" i="70"/>
  <c r="AG33" i="70"/>
  <c r="AN33" i="70" s="1"/>
  <c r="AF33" i="70"/>
  <c r="AL33" i="70" s="1"/>
  <c r="Z33" i="70"/>
  <c r="V33" i="70"/>
  <c r="R33" i="70"/>
  <c r="N33" i="70"/>
  <c r="J33" i="70"/>
  <c r="AG32" i="70"/>
  <c r="AN32" i="70" s="1"/>
  <c r="AF32" i="70"/>
  <c r="AL32" i="70" s="1"/>
  <c r="Z32" i="70"/>
  <c r="V32" i="70"/>
  <c r="R32" i="70"/>
  <c r="N32" i="70"/>
  <c r="J32" i="70"/>
  <c r="AH31" i="70"/>
  <c r="AP31" i="70" s="1"/>
  <c r="AG31" i="70"/>
  <c r="AN31" i="70" s="1"/>
  <c r="AF31" i="70"/>
  <c r="AL31" i="70" s="1"/>
  <c r="Z31" i="70"/>
  <c r="V31" i="70"/>
  <c r="N31" i="70"/>
  <c r="J31" i="70"/>
  <c r="F31" i="70"/>
  <c r="AG30" i="70"/>
  <c r="AN30" i="70" s="1"/>
  <c r="AF30" i="70"/>
  <c r="AL30" i="70" s="1"/>
  <c r="Z30" i="70"/>
  <c r="V30" i="70"/>
  <c r="N30" i="70"/>
  <c r="AG29" i="70"/>
  <c r="AN29" i="70" s="1"/>
  <c r="AF29" i="70"/>
  <c r="AL29" i="70" s="1"/>
  <c r="Z29" i="70"/>
  <c r="V29" i="70"/>
  <c r="N29" i="70"/>
  <c r="AG28" i="70"/>
  <c r="AN28" i="70" s="1"/>
  <c r="AF28" i="70"/>
  <c r="AL28" i="70" s="1"/>
  <c r="Z28" i="70"/>
  <c r="V28" i="70"/>
  <c r="R28" i="70"/>
  <c r="N28" i="70"/>
  <c r="J28" i="70"/>
  <c r="F28" i="70"/>
  <c r="AH27" i="70"/>
  <c r="AP27" i="70" s="1"/>
  <c r="AG27" i="70"/>
  <c r="AN27" i="70" s="1"/>
  <c r="AF27" i="70"/>
  <c r="AL27" i="70" s="1"/>
  <c r="Z27" i="70"/>
  <c r="V27" i="70"/>
  <c r="R27" i="70"/>
  <c r="N27" i="70"/>
  <c r="J27" i="70"/>
  <c r="F27" i="70"/>
  <c r="AH26" i="70"/>
  <c r="AP26" i="70" s="1"/>
  <c r="AG26" i="70"/>
  <c r="AN26" i="70" s="1"/>
  <c r="AF26" i="70"/>
  <c r="AL26" i="70" s="1"/>
  <c r="Z26" i="70"/>
  <c r="V26" i="70"/>
  <c r="R26" i="70"/>
  <c r="N26" i="70"/>
  <c r="J26" i="70"/>
  <c r="F26" i="70"/>
  <c r="AH25" i="70"/>
  <c r="AP25" i="70" s="1"/>
  <c r="AG25" i="70"/>
  <c r="AN25" i="70" s="1"/>
  <c r="AF25" i="70"/>
  <c r="AL25" i="70" s="1"/>
  <c r="Z25" i="70"/>
  <c r="V25" i="70"/>
  <c r="R25" i="70"/>
  <c r="N25" i="70"/>
  <c r="J25" i="70"/>
  <c r="F25" i="70"/>
  <c r="AH24" i="70"/>
  <c r="AP24" i="70" s="1"/>
  <c r="AG24" i="70"/>
  <c r="AN24" i="70" s="1"/>
  <c r="AF24" i="70"/>
  <c r="AL24" i="70" s="1"/>
  <c r="Z24" i="70"/>
  <c r="V24" i="70"/>
  <c r="R24" i="70"/>
  <c r="N24" i="70"/>
  <c r="J24" i="70"/>
  <c r="F24" i="70"/>
  <c r="AG23" i="70"/>
  <c r="AN23" i="70" s="1"/>
  <c r="AF23" i="70"/>
  <c r="AL23" i="70" s="1"/>
  <c r="Z23" i="70"/>
  <c r="V23" i="70"/>
  <c r="R23" i="70"/>
  <c r="N23" i="70"/>
  <c r="J23" i="70"/>
  <c r="AG22" i="70"/>
  <c r="AN22" i="70" s="1"/>
  <c r="AF22" i="70"/>
  <c r="AL22" i="70" s="1"/>
  <c r="Z22" i="70"/>
  <c r="V22" i="70"/>
  <c r="N22" i="70"/>
  <c r="J22" i="70"/>
  <c r="AH21" i="70"/>
  <c r="AP21" i="70" s="1"/>
  <c r="AG21" i="70"/>
  <c r="AN21" i="70" s="1"/>
  <c r="AF21" i="70"/>
  <c r="AL21" i="70" s="1"/>
  <c r="Z21" i="70"/>
  <c r="V21" i="70"/>
  <c r="N21" i="70"/>
  <c r="J21" i="70"/>
  <c r="F21" i="70"/>
  <c r="AG20" i="70"/>
  <c r="AN20" i="70" s="1"/>
  <c r="AF20" i="70"/>
  <c r="AL20" i="70" s="1"/>
  <c r="Z20" i="70"/>
  <c r="V20" i="70"/>
  <c r="N20" i="70"/>
  <c r="J20" i="70"/>
  <c r="AG19" i="70"/>
  <c r="AN19" i="70" s="1"/>
  <c r="AF19" i="70"/>
  <c r="AL19" i="70" s="1"/>
  <c r="Z19" i="70"/>
  <c r="V19" i="70"/>
  <c r="N19" i="70"/>
  <c r="AH18" i="70"/>
  <c r="AP18" i="70" s="1"/>
  <c r="AG18" i="70"/>
  <c r="AN18" i="70" s="1"/>
  <c r="AF18" i="70"/>
  <c r="AL18" i="70" s="1"/>
  <c r="Z18" i="70"/>
  <c r="V18" i="70"/>
  <c r="R18" i="70"/>
  <c r="N18" i="70"/>
  <c r="J18" i="70"/>
  <c r="F18" i="70"/>
  <c r="AH17" i="70"/>
  <c r="AP17" i="70" s="1"/>
  <c r="AG17" i="70"/>
  <c r="AN17" i="70" s="1"/>
  <c r="AF17" i="70"/>
  <c r="AL17" i="70" s="1"/>
  <c r="Z17" i="70"/>
  <c r="V17" i="70"/>
  <c r="N17" i="70"/>
  <c r="J17" i="70"/>
  <c r="F17" i="70"/>
  <c r="AG16" i="70"/>
  <c r="AN16" i="70" s="1"/>
  <c r="AF16" i="70"/>
  <c r="AL16" i="70" s="1"/>
  <c r="Z16" i="70"/>
  <c r="V16" i="70"/>
  <c r="R16" i="70"/>
  <c r="N16" i="70"/>
  <c r="J16" i="70"/>
  <c r="AG15" i="70"/>
  <c r="AN15" i="70" s="1"/>
  <c r="AF15" i="70"/>
  <c r="AL15" i="70" s="1"/>
  <c r="Z15" i="70"/>
  <c r="V15" i="70"/>
  <c r="R15" i="70"/>
  <c r="N15" i="70"/>
  <c r="J15" i="70"/>
  <c r="AG14" i="70"/>
  <c r="AN14" i="70" s="1"/>
  <c r="AF14" i="70"/>
  <c r="AL14" i="70" s="1"/>
  <c r="Z14" i="70"/>
  <c r="V14" i="70"/>
  <c r="R14" i="70"/>
  <c r="N14" i="70"/>
  <c r="J14" i="70"/>
  <c r="AG13" i="70"/>
  <c r="AN13" i="70" s="1"/>
  <c r="AF13" i="70"/>
  <c r="AL13" i="70" s="1"/>
  <c r="Z13" i="70"/>
  <c r="V13" i="70"/>
  <c r="N13" i="70"/>
  <c r="F13" i="70"/>
  <c r="AH12" i="70"/>
  <c r="AP12" i="70" s="1"/>
  <c r="AG12" i="70"/>
  <c r="AN12" i="70" s="1"/>
  <c r="AF12" i="70"/>
  <c r="AL12" i="70" s="1"/>
  <c r="Z12" i="70"/>
  <c r="V12" i="70"/>
  <c r="R12" i="70"/>
  <c r="N12" i="70"/>
  <c r="F12" i="70"/>
  <c r="AH11" i="70"/>
  <c r="AP11" i="70" s="1"/>
  <c r="AG11" i="70"/>
  <c r="AN11" i="70" s="1"/>
  <c r="AF11" i="70"/>
  <c r="AL11" i="70" s="1"/>
  <c r="Z11" i="70"/>
  <c r="V11" i="70"/>
  <c r="R11" i="70"/>
  <c r="N11" i="70"/>
  <c r="F11" i="70"/>
  <c r="AH10" i="70"/>
  <c r="AP10" i="70" s="1"/>
  <c r="AG10" i="70"/>
  <c r="AN10" i="70" s="1"/>
  <c r="AF10" i="70"/>
  <c r="AL10" i="70" s="1"/>
  <c r="Z10" i="70"/>
  <c r="V10" i="70"/>
  <c r="R10" i="70"/>
  <c r="N10" i="70"/>
  <c r="F10" i="70"/>
  <c r="AG9" i="70"/>
  <c r="AN9" i="70" s="1"/>
  <c r="AF9" i="70"/>
  <c r="AL9" i="70" s="1"/>
  <c r="Z9" i="70"/>
  <c r="V9" i="70"/>
  <c r="N9" i="70"/>
  <c r="F9" i="70"/>
  <c r="AG8" i="70"/>
  <c r="AN8" i="70" s="1"/>
  <c r="AF8" i="70"/>
  <c r="AL8" i="70" s="1"/>
  <c r="Z8" i="70"/>
  <c r="V8" i="70"/>
  <c r="N8" i="70"/>
  <c r="F8" i="70"/>
  <c r="AG6" i="70"/>
  <c r="AE6" i="70"/>
  <c r="AM5" i="70"/>
  <c r="AK5" i="70"/>
  <c r="AH38" i="69"/>
  <c r="AP38" i="69" s="1"/>
  <c r="AG38" i="69"/>
  <c r="AN38" i="69" s="1"/>
  <c r="AF38" i="69"/>
  <c r="AL38" i="69" s="1"/>
  <c r="Z38" i="69"/>
  <c r="V38" i="69"/>
  <c r="R38" i="69"/>
  <c r="N38" i="69"/>
  <c r="J38" i="69"/>
  <c r="F38" i="69"/>
  <c r="AG37" i="69"/>
  <c r="AN37" i="69" s="1"/>
  <c r="AF37" i="69"/>
  <c r="AL37" i="69" s="1"/>
  <c r="Z37" i="69"/>
  <c r="V37" i="69"/>
  <c r="R37" i="69"/>
  <c r="N37" i="69"/>
  <c r="AH36" i="69"/>
  <c r="AP36" i="69" s="1"/>
  <c r="AG36" i="69"/>
  <c r="AN36" i="69" s="1"/>
  <c r="AF36" i="69"/>
  <c r="AL36" i="69" s="1"/>
  <c r="Z36" i="69"/>
  <c r="V36" i="69"/>
  <c r="R36" i="69"/>
  <c r="N36" i="69"/>
  <c r="J36" i="69"/>
  <c r="F36" i="69"/>
  <c r="AG35" i="69"/>
  <c r="AN35" i="69" s="1"/>
  <c r="AF35" i="69"/>
  <c r="AL35" i="69" s="1"/>
  <c r="Z35" i="69"/>
  <c r="V35" i="69"/>
  <c r="R35" i="69"/>
  <c r="N35" i="69"/>
  <c r="AG34" i="69"/>
  <c r="AN34" i="69" s="1"/>
  <c r="AF34" i="69"/>
  <c r="AL34" i="69" s="1"/>
  <c r="Z34" i="69"/>
  <c r="V34" i="69"/>
  <c r="N34" i="69"/>
  <c r="J34" i="69"/>
  <c r="F34" i="69"/>
  <c r="AG33" i="69"/>
  <c r="AN33" i="69" s="1"/>
  <c r="AF33" i="69"/>
  <c r="AL33" i="69" s="1"/>
  <c r="V33" i="69"/>
  <c r="N33" i="69"/>
  <c r="F33" i="69"/>
  <c r="AG32" i="69"/>
  <c r="AN32" i="69" s="1"/>
  <c r="AF32" i="69"/>
  <c r="AL32" i="69" s="1"/>
  <c r="V32" i="69"/>
  <c r="N32" i="69"/>
  <c r="AG31" i="69"/>
  <c r="AN31" i="69" s="1"/>
  <c r="AF31" i="69"/>
  <c r="AL31" i="69" s="1"/>
  <c r="V31" i="69"/>
  <c r="N31" i="69"/>
  <c r="AG30" i="69"/>
  <c r="AN30" i="69" s="1"/>
  <c r="AF30" i="69"/>
  <c r="AL30" i="69" s="1"/>
  <c r="V30" i="69"/>
  <c r="N30" i="69"/>
  <c r="J30" i="69"/>
  <c r="AH29" i="69"/>
  <c r="AP29" i="69" s="1"/>
  <c r="AG29" i="69"/>
  <c r="AN29" i="69" s="1"/>
  <c r="AF29" i="69"/>
  <c r="AL29" i="69" s="1"/>
  <c r="Z29" i="69"/>
  <c r="V29" i="69"/>
  <c r="R29" i="69"/>
  <c r="N29" i="69"/>
  <c r="J29" i="69"/>
  <c r="F29" i="69"/>
  <c r="AH28" i="69"/>
  <c r="AP28" i="69" s="1"/>
  <c r="AG28" i="69"/>
  <c r="AN28" i="69" s="1"/>
  <c r="AF28" i="69"/>
  <c r="AL28" i="69" s="1"/>
  <c r="Z28" i="69"/>
  <c r="V28" i="69"/>
  <c r="R28" i="69"/>
  <c r="N28" i="69"/>
  <c r="J28" i="69"/>
  <c r="F28" i="69"/>
  <c r="AG27" i="69"/>
  <c r="AN27" i="69" s="1"/>
  <c r="AF27" i="69"/>
  <c r="AL27" i="69" s="1"/>
  <c r="Z27" i="69"/>
  <c r="V27" i="69"/>
  <c r="R27" i="69"/>
  <c r="N27" i="69"/>
  <c r="J27" i="69"/>
  <c r="AG26" i="69"/>
  <c r="AN26" i="69" s="1"/>
  <c r="AF26" i="69"/>
  <c r="AL26" i="69" s="1"/>
  <c r="Z26" i="69"/>
  <c r="V26" i="69"/>
  <c r="R26" i="69"/>
  <c r="N26" i="69"/>
  <c r="AG25" i="69"/>
  <c r="AN25" i="69" s="1"/>
  <c r="AF25" i="69"/>
  <c r="AL25" i="69" s="1"/>
  <c r="Z25" i="69"/>
  <c r="V25" i="69"/>
  <c r="N25" i="69"/>
  <c r="AG24" i="69"/>
  <c r="AN24" i="69" s="1"/>
  <c r="AF24" i="69"/>
  <c r="AL24" i="69" s="1"/>
  <c r="V24" i="69"/>
  <c r="N24" i="69"/>
  <c r="F24" i="69"/>
  <c r="AH23" i="69"/>
  <c r="AP23" i="69" s="1"/>
  <c r="AG23" i="69"/>
  <c r="AN23" i="69" s="1"/>
  <c r="AF23" i="69"/>
  <c r="AL23" i="69" s="1"/>
  <c r="Z23" i="69"/>
  <c r="V23" i="69"/>
  <c r="R23" i="69"/>
  <c r="N23" i="69"/>
  <c r="J23" i="69"/>
  <c r="F23" i="69"/>
  <c r="AH22" i="69"/>
  <c r="AP22" i="69" s="1"/>
  <c r="AG22" i="69"/>
  <c r="AN22" i="69" s="1"/>
  <c r="AF22" i="69"/>
  <c r="AL22" i="69" s="1"/>
  <c r="Z22" i="69"/>
  <c r="V22" i="69"/>
  <c r="R22" i="69"/>
  <c r="N22" i="69"/>
  <c r="J22" i="69"/>
  <c r="F22" i="69"/>
  <c r="AG21" i="69"/>
  <c r="AN21" i="69" s="1"/>
  <c r="AF21" i="69"/>
  <c r="AL21" i="69" s="1"/>
  <c r="V21" i="69"/>
  <c r="N21" i="69"/>
  <c r="J21" i="69"/>
  <c r="F21" i="69"/>
  <c r="AG20" i="69"/>
  <c r="AN20" i="69" s="1"/>
  <c r="AF20" i="69"/>
  <c r="AL20" i="69" s="1"/>
  <c r="V20" i="69"/>
  <c r="N20" i="69"/>
  <c r="AG19" i="69"/>
  <c r="AN19" i="69" s="1"/>
  <c r="AF19" i="69"/>
  <c r="AL19" i="69" s="1"/>
  <c r="V19" i="69"/>
  <c r="N19" i="69"/>
  <c r="J19" i="69"/>
  <c r="AG18" i="69"/>
  <c r="AN18" i="69" s="1"/>
  <c r="AF18" i="69"/>
  <c r="AL18" i="69" s="1"/>
  <c r="Z18" i="69"/>
  <c r="V18" i="69"/>
  <c r="R18" i="69"/>
  <c r="N18" i="69"/>
  <c r="J18" i="69"/>
  <c r="AH17" i="69"/>
  <c r="AP17" i="69" s="1"/>
  <c r="AG17" i="69"/>
  <c r="AN17" i="69" s="1"/>
  <c r="AF17" i="69"/>
  <c r="AL17" i="69" s="1"/>
  <c r="Z17" i="69"/>
  <c r="V17" i="69"/>
  <c r="N17" i="69"/>
  <c r="J17" i="69"/>
  <c r="F17" i="69"/>
  <c r="AH16" i="69"/>
  <c r="AP16" i="69" s="1"/>
  <c r="AG16" i="69"/>
  <c r="AN16" i="69" s="1"/>
  <c r="AF16" i="69"/>
  <c r="AL16" i="69" s="1"/>
  <c r="Z16" i="69"/>
  <c r="V16" i="69"/>
  <c r="N16" i="69"/>
  <c r="J16" i="69"/>
  <c r="F16" i="69"/>
  <c r="AH15" i="69"/>
  <c r="AP15" i="69" s="1"/>
  <c r="AG15" i="69"/>
  <c r="AN15" i="69" s="1"/>
  <c r="AF15" i="69"/>
  <c r="AL15" i="69" s="1"/>
  <c r="Z15" i="69"/>
  <c r="V15" i="69"/>
  <c r="R15" i="69"/>
  <c r="N15" i="69"/>
  <c r="J15" i="69"/>
  <c r="F15" i="69"/>
  <c r="AH14" i="69"/>
  <c r="AP14" i="69" s="1"/>
  <c r="AG14" i="69"/>
  <c r="AN14" i="69" s="1"/>
  <c r="AF14" i="69"/>
  <c r="AL14" i="69" s="1"/>
  <c r="V14" i="69"/>
  <c r="N14" i="69"/>
  <c r="J14" i="69"/>
  <c r="F14" i="69"/>
  <c r="AH13" i="69"/>
  <c r="AP13" i="69" s="1"/>
  <c r="AF13" i="69"/>
  <c r="AL13" i="69" s="1"/>
  <c r="V13" i="69"/>
  <c r="N13" i="69"/>
  <c r="AF12" i="69"/>
  <c r="AL12" i="69" s="1"/>
  <c r="V12" i="69"/>
  <c r="N12" i="69"/>
  <c r="J12" i="69"/>
  <c r="AF11" i="69"/>
  <c r="AL11" i="69" s="1"/>
  <c r="V11" i="69"/>
  <c r="N11" i="69"/>
  <c r="AG10" i="69"/>
  <c r="AN10" i="69" s="1"/>
  <c r="AF10" i="69"/>
  <c r="V10" i="69"/>
  <c r="N10" i="69"/>
  <c r="J10" i="69"/>
  <c r="AG9" i="69"/>
  <c r="AN9" i="69" s="1"/>
  <c r="AF9" i="69"/>
  <c r="AL9" i="69" s="1"/>
  <c r="Z9" i="69"/>
  <c r="V9" i="69"/>
  <c r="R9" i="69"/>
  <c r="N9" i="69"/>
  <c r="J9" i="69"/>
  <c r="AH8" i="69"/>
  <c r="AP8" i="69" s="1"/>
  <c r="AG8" i="69"/>
  <c r="AN8" i="69" s="1"/>
  <c r="AF8" i="69"/>
  <c r="AL8" i="69" s="1"/>
  <c r="Z8" i="69"/>
  <c r="V8" i="69"/>
  <c r="R8" i="69"/>
  <c r="N8" i="69"/>
  <c r="J8" i="69"/>
  <c r="F8" i="69"/>
  <c r="AG6" i="69"/>
  <c r="AE6" i="69"/>
  <c r="AM5" i="69"/>
  <c r="AK5" i="69"/>
  <c r="AH38" i="68"/>
  <c r="AP38" i="68" s="1"/>
  <c r="AG38" i="68"/>
  <c r="AN38" i="68" s="1"/>
  <c r="AF38" i="68"/>
  <c r="AL38" i="68" s="1"/>
  <c r="Z38" i="68"/>
  <c r="V38" i="68"/>
  <c r="R38" i="68"/>
  <c r="N38" i="68"/>
  <c r="J38" i="68"/>
  <c r="F38" i="68"/>
  <c r="AH37" i="68"/>
  <c r="AP37" i="68" s="1"/>
  <c r="AG37" i="68"/>
  <c r="AN37" i="68" s="1"/>
  <c r="AF37" i="68"/>
  <c r="AL37" i="68" s="1"/>
  <c r="Z37" i="68"/>
  <c r="V37" i="68"/>
  <c r="R37" i="68"/>
  <c r="N37" i="68"/>
  <c r="J37" i="68"/>
  <c r="F37" i="68"/>
  <c r="AH36" i="68"/>
  <c r="AP36" i="68" s="1"/>
  <c r="AG36" i="68"/>
  <c r="AN36" i="68" s="1"/>
  <c r="AF36" i="68"/>
  <c r="AL36" i="68" s="1"/>
  <c r="Z36" i="68"/>
  <c r="V36" i="68"/>
  <c r="R36" i="68"/>
  <c r="N36" i="68"/>
  <c r="J36" i="68"/>
  <c r="F36" i="68"/>
  <c r="AH35" i="68"/>
  <c r="AP35" i="68" s="1"/>
  <c r="AG35" i="68"/>
  <c r="AN35" i="68" s="1"/>
  <c r="AF35" i="68"/>
  <c r="AL35" i="68" s="1"/>
  <c r="Z35" i="68"/>
  <c r="V35" i="68"/>
  <c r="R35" i="68"/>
  <c r="N35" i="68"/>
  <c r="J35" i="68"/>
  <c r="F35" i="68"/>
  <c r="AH34" i="68"/>
  <c r="AP34" i="68" s="1"/>
  <c r="AG34" i="68"/>
  <c r="AN34" i="68" s="1"/>
  <c r="AF34" i="68"/>
  <c r="AL34" i="68" s="1"/>
  <c r="Z34" i="68"/>
  <c r="V34" i="68"/>
  <c r="R34" i="68"/>
  <c r="N34" i="68"/>
  <c r="J34" i="68"/>
  <c r="F34" i="68"/>
  <c r="AH33" i="68"/>
  <c r="AP33" i="68" s="1"/>
  <c r="AG33" i="68"/>
  <c r="AN33" i="68" s="1"/>
  <c r="AF33" i="68"/>
  <c r="AL33" i="68" s="1"/>
  <c r="Z33" i="68"/>
  <c r="V33" i="68"/>
  <c r="R33" i="68"/>
  <c r="N33" i="68"/>
  <c r="J33" i="68"/>
  <c r="F33" i="68"/>
  <c r="AH32" i="68"/>
  <c r="AP32" i="68" s="1"/>
  <c r="AG32" i="68"/>
  <c r="AN32" i="68" s="1"/>
  <c r="AF32" i="68"/>
  <c r="AL32" i="68" s="1"/>
  <c r="Z32" i="68"/>
  <c r="V32" i="68"/>
  <c r="R32" i="68"/>
  <c r="N32" i="68"/>
  <c r="J32" i="68"/>
  <c r="F32" i="68"/>
  <c r="AH31" i="68"/>
  <c r="AP31" i="68" s="1"/>
  <c r="AG31" i="68"/>
  <c r="AN31" i="68" s="1"/>
  <c r="AF31" i="68"/>
  <c r="AL31" i="68" s="1"/>
  <c r="Z31" i="68"/>
  <c r="V31" i="68"/>
  <c r="R31" i="68"/>
  <c r="N31" i="68"/>
  <c r="J31" i="68"/>
  <c r="F31" i="68"/>
  <c r="AH30" i="68"/>
  <c r="AP30" i="68" s="1"/>
  <c r="AG30" i="68"/>
  <c r="AN30" i="68" s="1"/>
  <c r="AF30" i="68"/>
  <c r="AL30" i="68" s="1"/>
  <c r="Z30" i="68"/>
  <c r="V30" i="68"/>
  <c r="R30" i="68"/>
  <c r="N30" i="68"/>
  <c r="J30" i="68"/>
  <c r="F30" i="68"/>
  <c r="AH29" i="68"/>
  <c r="AP29" i="68" s="1"/>
  <c r="AG29" i="68"/>
  <c r="AN29" i="68" s="1"/>
  <c r="AF29" i="68"/>
  <c r="AL29" i="68" s="1"/>
  <c r="Z29" i="68"/>
  <c r="V29" i="68"/>
  <c r="R29" i="68"/>
  <c r="N29" i="68"/>
  <c r="J29" i="68"/>
  <c r="F29" i="68"/>
  <c r="AH28" i="68"/>
  <c r="AP28" i="68" s="1"/>
  <c r="AG28" i="68"/>
  <c r="AN28" i="68" s="1"/>
  <c r="AF28" i="68"/>
  <c r="AL28" i="68" s="1"/>
  <c r="Z28" i="68"/>
  <c r="V28" i="68"/>
  <c r="R28" i="68"/>
  <c r="N28" i="68"/>
  <c r="J28" i="68"/>
  <c r="F28" i="68"/>
  <c r="AH27" i="68"/>
  <c r="AP27" i="68" s="1"/>
  <c r="AG27" i="68"/>
  <c r="AN27" i="68" s="1"/>
  <c r="AF27" i="68"/>
  <c r="AL27" i="68" s="1"/>
  <c r="Z27" i="68"/>
  <c r="V27" i="68"/>
  <c r="R27" i="68"/>
  <c r="N27" i="68"/>
  <c r="J27" i="68"/>
  <c r="F27" i="68"/>
  <c r="AH26" i="68"/>
  <c r="AP26" i="68" s="1"/>
  <c r="AG26" i="68"/>
  <c r="AN26" i="68" s="1"/>
  <c r="AF26" i="68"/>
  <c r="AL26" i="68" s="1"/>
  <c r="Z26" i="68"/>
  <c r="V26" i="68"/>
  <c r="R26" i="68"/>
  <c r="N26" i="68"/>
  <c r="J26" i="68"/>
  <c r="F26" i="68"/>
  <c r="AH25" i="68"/>
  <c r="AP25" i="68" s="1"/>
  <c r="AG25" i="68"/>
  <c r="AN25" i="68" s="1"/>
  <c r="AF25" i="68"/>
  <c r="AL25" i="68" s="1"/>
  <c r="Z25" i="68"/>
  <c r="V25" i="68"/>
  <c r="R25" i="68"/>
  <c r="N25" i="68"/>
  <c r="J25" i="68"/>
  <c r="F25" i="68"/>
  <c r="AH24" i="68"/>
  <c r="AP24" i="68" s="1"/>
  <c r="AG24" i="68"/>
  <c r="AN24" i="68" s="1"/>
  <c r="AF24" i="68"/>
  <c r="AL24" i="68" s="1"/>
  <c r="Z24" i="68"/>
  <c r="V24" i="68"/>
  <c r="R24" i="68"/>
  <c r="N24" i="68"/>
  <c r="J24" i="68"/>
  <c r="F24" i="68"/>
  <c r="AH23" i="68"/>
  <c r="AP23" i="68" s="1"/>
  <c r="AG23" i="68"/>
  <c r="AN23" i="68" s="1"/>
  <c r="AF23" i="68"/>
  <c r="AL23" i="68" s="1"/>
  <c r="Z23" i="68"/>
  <c r="V23" i="68"/>
  <c r="R23" i="68"/>
  <c r="N23" i="68"/>
  <c r="J23" i="68"/>
  <c r="F23" i="68"/>
  <c r="AH22" i="68"/>
  <c r="AP22" i="68" s="1"/>
  <c r="AG22" i="68"/>
  <c r="AN22" i="68" s="1"/>
  <c r="AF22" i="68"/>
  <c r="AL22" i="68" s="1"/>
  <c r="Z22" i="68"/>
  <c r="V22" i="68"/>
  <c r="R22" i="68"/>
  <c r="N22" i="68"/>
  <c r="J22" i="68"/>
  <c r="F22" i="68"/>
  <c r="AH21" i="68"/>
  <c r="AP21" i="68" s="1"/>
  <c r="AG21" i="68"/>
  <c r="AN21" i="68" s="1"/>
  <c r="AF21" i="68"/>
  <c r="AL21" i="68" s="1"/>
  <c r="Z21" i="68"/>
  <c r="V21" i="68"/>
  <c r="R21" i="68"/>
  <c r="N21" i="68"/>
  <c r="J21" i="68"/>
  <c r="F21" i="68"/>
  <c r="AH20" i="68"/>
  <c r="AP20" i="68" s="1"/>
  <c r="AG20" i="68"/>
  <c r="AN20" i="68" s="1"/>
  <c r="AF20" i="68"/>
  <c r="AL20" i="68" s="1"/>
  <c r="Z20" i="68"/>
  <c r="V20" i="68"/>
  <c r="R20" i="68"/>
  <c r="N20" i="68"/>
  <c r="J20" i="68"/>
  <c r="F20" i="68"/>
  <c r="AH19" i="68"/>
  <c r="AP19" i="68" s="1"/>
  <c r="AG19" i="68"/>
  <c r="AN19" i="68" s="1"/>
  <c r="AF19" i="68"/>
  <c r="AL19" i="68" s="1"/>
  <c r="Z19" i="68"/>
  <c r="V19" i="68"/>
  <c r="R19" i="68"/>
  <c r="N19" i="68"/>
  <c r="J19" i="68"/>
  <c r="F19" i="68"/>
  <c r="AH18" i="68"/>
  <c r="AP18" i="68" s="1"/>
  <c r="AG18" i="68"/>
  <c r="AN18" i="68" s="1"/>
  <c r="AF18" i="68"/>
  <c r="AL18" i="68" s="1"/>
  <c r="Z18" i="68"/>
  <c r="V18" i="68"/>
  <c r="R18" i="68"/>
  <c r="N18" i="68"/>
  <c r="J18" i="68"/>
  <c r="F18" i="68"/>
  <c r="AH17" i="68"/>
  <c r="AP17" i="68" s="1"/>
  <c r="AG17" i="68"/>
  <c r="AN17" i="68" s="1"/>
  <c r="AF17" i="68"/>
  <c r="AL17" i="68" s="1"/>
  <c r="Z17" i="68"/>
  <c r="V17" i="68"/>
  <c r="R17" i="68"/>
  <c r="N17" i="68"/>
  <c r="J17" i="68"/>
  <c r="F17" i="68"/>
  <c r="AH16" i="68"/>
  <c r="AP16" i="68" s="1"/>
  <c r="AG16" i="68"/>
  <c r="AN16" i="68" s="1"/>
  <c r="AF16" i="68"/>
  <c r="AL16" i="68" s="1"/>
  <c r="Z16" i="68"/>
  <c r="V16" i="68"/>
  <c r="R16" i="68"/>
  <c r="N16" i="68"/>
  <c r="J16" i="68"/>
  <c r="F16" i="68"/>
  <c r="AH15" i="68"/>
  <c r="AP15" i="68" s="1"/>
  <c r="AG15" i="68"/>
  <c r="AN15" i="68" s="1"/>
  <c r="AF15" i="68"/>
  <c r="AL15" i="68" s="1"/>
  <c r="Z15" i="68"/>
  <c r="V15" i="68"/>
  <c r="R15" i="68"/>
  <c r="N15" i="68"/>
  <c r="J15" i="68"/>
  <c r="F15" i="68"/>
  <c r="AH14" i="68"/>
  <c r="AP14" i="68" s="1"/>
  <c r="AG14" i="68"/>
  <c r="AN14" i="68" s="1"/>
  <c r="AF14" i="68"/>
  <c r="AL14" i="68" s="1"/>
  <c r="Z14" i="68"/>
  <c r="V14" i="68"/>
  <c r="R14" i="68"/>
  <c r="N14" i="68"/>
  <c r="J14" i="68"/>
  <c r="F14" i="68"/>
  <c r="AH13" i="68"/>
  <c r="AP13" i="68" s="1"/>
  <c r="AG13" i="68"/>
  <c r="AN13" i="68" s="1"/>
  <c r="AF13" i="68"/>
  <c r="AL13" i="68" s="1"/>
  <c r="Z13" i="68"/>
  <c r="V13" i="68"/>
  <c r="R13" i="68"/>
  <c r="N13" i="68"/>
  <c r="J13" i="68"/>
  <c r="F13" i="68"/>
  <c r="AH12" i="68"/>
  <c r="AP12" i="68" s="1"/>
  <c r="AG12" i="68"/>
  <c r="AN12" i="68" s="1"/>
  <c r="AF12" i="68"/>
  <c r="AL12" i="68" s="1"/>
  <c r="Z12" i="68"/>
  <c r="V12" i="68"/>
  <c r="R12" i="68"/>
  <c r="N12" i="68"/>
  <c r="J12" i="68"/>
  <c r="F12" i="68"/>
  <c r="AH11" i="68"/>
  <c r="AP11" i="68" s="1"/>
  <c r="AG11" i="68"/>
  <c r="AN11" i="68" s="1"/>
  <c r="AF11" i="68"/>
  <c r="AL11" i="68" s="1"/>
  <c r="Z11" i="68"/>
  <c r="V11" i="68"/>
  <c r="R11" i="68"/>
  <c r="N11" i="68"/>
  <c r="J11" i="68"/>
  <c r="F11" i="68"/>
  <c r="AH10" i="68"/>
  <c r="AP10" i="68" s="1"/>
  <c r="AG10" i="68"/>
  <c r="AN10" i="68" s="1"/>
  <c r="AF10" i="68"/>
  <c r="Z10" i="68"/>
  <c r="V10" i="68"/>
  <c r="R10" i="68"/>
  <c r="N10" i="68"/>
  <c r="J10" i="68"/>
  <c r="F10" i="68"/>
  <c r="AH9" i="68"/>
  <c r="AP9" i="68" s="1"/>
  <c r="AG9" i="68"/>
  <c r="AN9" i="68" s="1"/>
  <c r="AF9" i="68"/>
  <c r="AL9" i="68" s="1"/>
  <c r="Z9" i="68"/>
  <c r="V9" i="68"/>
  <c r="R9" i="68"/>
  <c r="N9" i="68"/>
  <c r="J9" i="68"/>
  <c r="F9" i="68"/>
  <c r="AH8" i="68"/>
  <c r="AP8" i="68" s="1"/>
  <c r="AG8" i="68"/>
  <c r="AN8" i="68" s="1"/>
  <c r="AF8" i="68"/>
  <c r="AL8" i="68" s="1"/>
  <c r="Z8" i="68"/>
  <c r="V8" i="68"/>
  <c r="R8" i="68"/>
  <c r="N8" i="68"/>
  <c r="J8" i="68"/>
  <c r="F8" i="68"/>
  <c r="AG6" i="68"/>
  <c r="AE6" i="68"/>
  <c r="AM5" i="68"/>
  <c r="AK5" i="68"/>
  <c r="AH38" i="67"/>
  <c r="AP38" i="67" s="1"/>
  <c r="AG38" i="67"/>
  <c r="AN38" i="67" s="1"/>
  <c r="AF38" i="67"/>
  <c r="AL38" i="67" s="1"/>
  <c r="Z38" i="67"/>
  <c r="V38" i="67"/>
  <c r="R38" i="67"/>
  <c r="N38" i="67"/>
  <c r="J38" i="67"/>
  <c r="F38" i="67"/>
  <c r="AH37" i="67"/>
  <c r="AP37" i="67" s="1"/>
  <c r="AG37" i="67"/>
  <c r="AN37" i="67" s="1"/>
  <c r="AF37" i="67"/>
  <c r="AL37" i="67" s="1"/>
  <c r="Z37" i="67"/>
  <c r="V37" i="67"/>
  <c r="R37" i="67"/>
  <c r="N37" i="67"/>
  <c r="J37" i="67"/>
  <c r="F37" i="67"/>
  <c r="AH36" i="67"/>
  <c r="AP36" i="67" s="1"/>
  <c r="AG36" i="67"/>
  <c r="AN36" i="67" s="1"/>
  <c r="AF36" i="67"/>
  <c r="AL36" i="67" s="1"/>
  <c r="Z36" i="67"/>
  <c r="V36" i="67"/>
  <c r="R36" i="67"/>
  <c r="N36" i="67"/>
  <c r="J36" i="67"/>
  <c r="F36" i="67"/>
  <c r="AH35" i="67"/>
  <c r="AP35" i="67" s="1"/>
  <c r="AG35" i="67"/>
  <c r="AN35" i="67" s="1"/>
  <c r="AF35" i="67"/>
  <c r="AL35" i="67" s="1"/>
  <c r="Z35" i="67"/>
  <c r="V35" i="67"/>
  <c r="R35" i="67"/>
  <c r="N35" i="67"/>
  <c r="J35" i="67"/>
  <c r="F35" i="67"/>
  <c r="AH34" i="67"/>
  <c r="AP34" i="67" s="1"/>
  <c r="AG34" i="67"/>
  <c r="AN34" i="67" s="1"/>
  <c r="AF34" i="67"/>
  <c r="AL34" i="67" s="1"/>
  <c r="Z34" i="67"/>
  <c r="V34" i="67"/>
  <c r="R34" i="67"/>
  <c r="N34" i="67"/>
  <c r="J34" i="67"/>
  <c r="F34" i="67"/>
  <c r="AH33" i="67"/>
  <c r="AP33" i="67" s="1"/>
  <c r="AG33" i="67"/>
  <c r="AN33" i="67" s="1"/>
  <c r="AF33" i="67"/>
  <c r="AL33" i="67" s="1"/>
  <c r="Z33" i="67"/>
  <c r="V33" i="67"/>
  <c r="R33" i="67"/>
  <c r="N33" i="67"/>
  <c r="J33" i="67"/>
  <c r="F33" i="67"/>
  <c r="AH32" i="67"/>
  <c r="AP32" i="67" s="1"/>
  <c r="AG32" i="67"/>
  <c r="AN32" i="67" s="1"/>
  <c r="AF32" i="67"/>
  <c r="AL32" i="67" s="1"/>
  <c r="Z32" i="67"/>
  <c r="V32" i="67"/>
  <c r="R32" i="67"/>
  <c r="N32" i="67"/>
  <c r="J32" i="67"/>
  <c r="F32" i="67"/>
  <c r="AH31" i="67"/>
  <c r="AP31" i="67" s="1"/>
  <c r="AG31" i="67"/>
  <c r="AN31" i="67" s="1"/>
  <c r="AF31" i="67"/>
  <c r="AL31" i="67" s="1"/>
  <c r="Z31" i="67"/>
  <c r="V31" i="67"/>
  <c r="R31" i="67"/>
  <c r="N31" i="67"/>
  <c r="J31" i="67"/>
  <c r="F31" i="67"/>
  <c r="AH30" i="67"/>
  <c r="AP30" i="67" s="1"/>
  <c r="AG30" i="67"/>
  <c r="AN30" i="67" s="1"/>
  <c r="AF30" i="67"/>
  <c r="AL30" i="67" s="1"/>
  <c r="Z30" i="67"/>
  <c r="V30" i="67"/>
  <c r="R30" i="67"/>
  <c r="N30" i="67"/>
  <c r="J30" i="67"/>
  <c r="F30" i="67"/>
  <c r="AH29" i="67"/>
  <c r="AP29" i="67" s="1"/>
  <c r="AG29" i="67"/>
  <c r="AN29" i="67" s="1"/>
  <c r="AF29" i="67"/>
  <c r="AL29" i="67" s="1"/>
  <c r="Z29" i="67"/>
  <c r="V29" i="67"/>
  <c r="R29" i="67"/>
  <c r="N29" i="67"/>
  <c r="J29" i="67"/>
  <c r="F29" i="67"/>
  <c r="AH28" i="67"/>
  <c r="AP28" i="67" s="1"/>
  <c r="AG28" i="67"/>
  <c r="AN28" i="67" s="1"/>
  <c r="AF28" i="67"/>
  <c r="AL28" i="67" s="1"/>
  <c r="Z28" i="67"/>
  <c r="V28" i="67"/>
  <c r="R28" i="67"/>
  <c r="N28" i="67"/>
  <c r="J28" i="67"/>
  <c r="F28" i="67"/>
  <c r="AH27" i="67"/>
  <c r="AP27" i="67" s="1"/>
  <c r="AG27" i="67"/>
  <c r="AN27" i="67" s="1"/>
  <c r="AF27" i="67"/>
  <c r="AL27" i="67" s="1"/>
  <c r="Z27" i="67"/>
  <c r="V27" i="67"/>
  <c r="R27" i="67"/>
  <c r="N27" i="67"/>
  <c r="J27" i="67"/>
  <c r="F27" i="67"/>
  <c r="AH26" i="67"/>
  <c r="AP26" i="67" s="1"/>
  <c r="AG26" i="67"/>
  <c r="AN26" i="67" s="1"/>
  <c r="AF26" i="67"/>
  <c r="AL26" i="67" s="1"/>
  <c r="Z26" i="67"/>
  <c r="V26" i="67"/>
  <c r="R26" i="67"/>
  <c r="N26" i="67"/>
  <c r="J26" i="67"/>
  <c r="F26" i="67"/>
  <c r="AH25" i="67"/>
  <c r="AP25" i="67" s="1"/>
  <c r="AG25" i="67"/>
  <c r="AN25" i="67" s="1"/>
  <c r="AF25" i="67"/>
  <c r="AL25" i="67" s="1"/>
  <c r="Z25" i="67"/>
  <c r="V25" i="67"/>
  <c r="R25" i="67"/>
  <c r="N25" i="67"/>
  <c r="J25" i="67"/>
  <c r="F25" i="67"/>
  <c r="AH24" i="67"/>
  <c r="AP24" i="67" s="1"/>
  <c r="AG24" i="67"/>
  <c r="AN24" i="67" s="1"/>
  <c r="AF24" i="67"/>
  <c r="AL24" i="67" s="1"/>
  <c r="Z24" i="67"/>
  <c r="V24" i="67"/>
  <c r="R24" i="67"/>
  <c r="N24" i="67"/>
  <c r="J24" i="67"/>
  <c r="F24" i="67"/>
  <c r="AH23" i="67"/>
  <c r="AP23" i="67" s="1"/>
  <c r="AG23" i="67"/>
  <c r="AN23" i="67" s="1"/>
  <c r="AF23" i="67"/>
  <c r="AL23" i="67" s="1"/>
  <c r="Z23" i="67"/>
  <c r="V23" i="67"/>
  <c r="R23" i="67"/>
  <c r="N23" i="67"/>
  <c r="J23" i="67"/>
  <c r="F23" i="67"/>
  <c r="AH22" i="67"/>
  <c r="AP22" i="67" s="1"/>
  <c r="AG22" i="67"/>
  <c r="AN22" i="67" s="1"/>
  <c r="AF22" i="67"/>
  <c r="AL22" i="67" s="1"/>
  <c r="Z22" i="67"/>
  <c r="V22" i="67"/>
  <c r="R22" i="67"/>
  <c r="N22" i="67"/>
  <c r="J22" i="67"/>
  <c r="F22" i="67"/>
  <c r="AH21" i="67"/>
  <c r="AP21" i="67" s="1"/>
  <c r="AG21" i="67"/>
  <c r="AN21" i="67" s="1"/>
  <c r="AF21" i="67"/>
  <c r="AL21" i="67" s="1"/>
  <c r="Z21" i="67"/>
  <c r="V21" i="67"/>
  <c r="R21" i="67"/>
  <c r="N21" i="67"/>
  <c r="J21" i="67"/>
  <c r="F21" i="67"/>
  <c r="AH20" i="67"/>
  <c r="AP20" i="67" s="1"/>
  <c r="AG20" i="67"/>
  <c r="AN20" i="67" s="1"/>
  <c r="AF20" i="67"/>
  <c r="AL20" i="67" s="1"/>
  <c r="Z20" i="67"/>
  <c r="V20" i="67"/>
  <c r="R20" i="67"/>
  <c r="N20" i="67"/>
  <c r="J20" i="67"/>
  <c r="F20" i="67"/>
  <c r="AH19" i="67"/>
  <c r="AP19" i="67" s="1"/>
  <c r="AG19" i="67"/>
  <c r="AN19" i="67" s="1"/>
  <c r="AF19" i="67"/>
  <c r="AL19" i="67" s="1"/>
  <c r="Z19" i="67"/>
  <c r="V19" i="67"/>
  <c r="R19" i="67"/>
  <c r="N19" i="67"/>
  <c r="J19" i="67"/>
  <c r="F19" i="67"/>
  <c r="AH18" i="67"/>
  <c r="AP18" i="67" s="1"/>
  <c r="AG18" i="67"/>
  <c r="AN18" i="67" s="1"/>
  <c r="AF18" i="67"/>
  <c r="AL18" i="67" s="1"/>
  <c r="Z18" i="67"/>
  <c r="V18" i="67"/>
  <c r="R18" i="67"/>
  <c r="N18" i="67"/>
  <c r="J18" i="67"/>
  <c r="F18" i="67"/>
  <c r="AH17" i="67"/>
  <c r="AP17" i="67" s="1"/>
  <c r="AG17" i="67"/>
  <c r="AN17" i="67" s="1"/>
  <c r="AF17" i="67"/>
  <c r="AL17" i="67" s="1"/>
  <c r="Z17" i="67"/>
  <c r="V17" i="67"/>
  <c r="R17" i="67"/>
  <c r="N17" i="67"/>
  <c r="J17" i="67"/>
  <c r="F17" i="67"/>
  <c r="AH16" i="67"/>
  <c r="AP16" i="67" s="1"/>
  <c r="AG16" i="67"/>
  <c r="AN16" i="67" s="1"/>
  <c r="AF16" i="67"/>
  <c r="AL16" i="67" s="1"/>
  <c r="Z16" i="67"/>
  <c r="V16" i="67"/>
  <c r="R16" i="67"/>
  <c r="N16" i="67"/>
  <c r="J16" i="67"/>
  <c r="F16" i="67"/>
  <c r="AH15" i="67"/>
  <c r="AP15" i="67" s="1"/>
  <c r="AG15" i="67"/>
  <c r="AN15" i="67" s="1"/>
  <c r="AF15" i="67"/>
  <c r="AL15" i="67" s="1"/>
  <c r="Z15" i="67"/>
  <c r="V15" i="67"/>
  <c r="R15" i="67"/>
  <c r="N15" i="67"/>
  <c r="J15" i="67"/>
  <c r="F15" i="67"/>
  <c r="AH14" i="67"/>
  <c r="AP14" i="67" s="1"/>
  <c r="AG14" i="67"/>
  <c r="AN14" i="67" s="1"/>
  <c r="AF14" i="67"/>
  <c r="AL14" i="67" s="1"/>
  <c r="Z14" i="67"/>
  <c r="V14" i="67"/>
  <c r="R14" i="67"/>
  <c r="N14" i="67"/>
  <c r="J14" i="67"/>
  <c r="F14" i="67"/>
  <c r="AH13" i="67"/>
  <c r="AP13" i="67" s="1"/>
  <c r="AG13" i="67"/>
  <c r="AN13" i="67" s="1"/>
  <c r="AF13" i="67"/>
  <c r="AL13" i="67" s="1"/>
  <c r="Z13" i="67"/>
  <c r="V13" i="67"/>
  <c r="R13" i="67"/>
  <c r="N13" i="67"/>
  <c r="J13" i="67"/>
  <c r="F13" i="67"/>
  <c r="AH12" i="67"/>
  <c r="AP12" i="67" s="1"/>
  <c r="AG12" i="67"/>
  <c r="AN12" i="67" s="1"/>
  <c r="AF12" i="67"/>
  <c r="AL12" i="67" s="1"/>
  <c r="Z12" i="67"/>
  <c r="V12" i="67"/>
  <c r="R12" i="67"/>
  <c r="N12" i="67"/>
  <c r="J12" i="67"/>
  <c r="F12" i="67"/>
  <c r="AH11" i="67"/>
  <c r="AP11" i="67" s="1"/>
  <c r="AG11" i="67"/>
  <c r="AN11" i="67" s="1"/>
  <c r="AF11" i="67"/>
  <c r="AL11" i="67" s="1"/>
  <c r="Z11" i="67"/>
  <c r="V11" i="67"/>
  <c r="R11" i="67"/>
  <c r="N11" i="67"/>
  <c r="J11" i="67"/>
  <c r="F11" i="67"/>
  <c r="AH10" i="67"/>
  <c r="AP10" i="67" s="1"/>
  <c r="AG10" i="67"/>
  <c r="AN10" i="67" s="1"/>
  <c r="AF10" i="67"/>
  <c r="AL10" i="67" s="1"/>
  <c r="Z10" i="67"/>
  <c r="V10" i="67"/>
  <c r="R10" i="67"/>
  <c r="N10" i="67"/>
  <c r="J10" i="67"/>
  <c r="F10" i="67"/>
  <c r="AH9" i="67"/>
  <c r="AP9" i="67" s="1"/>
  <c r="AG9" i="67"/>
  <c r="AN9" i="67" s="1"/>
  <c r="AF9" i="67"/>
  <c r="AL9" i="67" s="1"/>
  <c r="Z9" i="67"/>
  <c r="V9" i="67"/>
  <c r="R9" i="67"/>
  <c r="N9" i="67"/>
  <c r="J9" i="67"/>
  <c r="F9" i="67"/>
  <c r="AH8" i="67"/>
  <c r="AP8" i="67" s="1"/>
  <c r="AG8" i="67"/>
  <c r="AN8" i="67" s="1"/>
  <c r="AF8" i="67"/>
  <c r="AL8" i="67" s="1"/>
  <c r="Z8" i="67"/>
  <c r="V8" i="67"/>
  <c r="R8" i="67"/>
  <c r="N8" i="67"/>
  <c r="J8" i="67"/>
  <c r="F8" i="67"/>
  <c r="AG6" i="67"/>
  <c r="AE6" i="67"/>
  <c r="AM5" i="67"/>
  <c r="AK5" i="67"/>
  <c r="AH38" i="66"/>
  <c r="AP38" i="66" s="1"/>
  <c r="AG38" i="66"/>
  <c r="AN38" i="66" s="1"/>
  <c r="AF38" i="66"/>
  <c r="AL38" i="66" s="1"/>
  <c r="Z38" i="66"/>
  <c r="V38" i="66"/>
  <c r="R38" i="66"/>
  <c r="N38" i="66"/>
  <c r="J38" i="66"/>
  <c r="F38" i="66"/>
  <c r="AH37" i="66"/>
  <c r="AP37" i="66" s="1"/>
  <c r="AG37" i="66"/>
  <c r="AN37" i="66" s="1"/>
  <c r="AF37" i="66"/>
  <c r="AL37" i="66" s="1"/>
  <c r="Z37" i="66"/>
  <c r="V37" i="66"/>
  <c r="R37" i="66"/>
  <c r="N37" i="66"/>
  <c r="J37" i="66"/>
  <c r="F37" i="66"/>
  <c r="AH36" i="66"/>
  <c r="AP36" i="66" s="1"/>
  <c r="AG36" i="66"/>
  <c r="AN36" i="66" s="1"/>
  <c r="AF36" i="66"/>
  <c r="AL36" i="66" s="1"/>
  <c r="Z36" i="66"/>
  <c r="V36" i="66"/>
  <c r="R36" i="66"/>
  <c r="N36" i="66"/>
  <c r="J36" i="66"/>
  <c r="F36" i="66"/>
  <c r="AH35" i="66"/>
  <c r="AP35" i="66" s="1"/>
  <c r="AG35" i="66"/>
  <c r="AN35" i="66" s="1"/>
  <c r="AF35" i="66"/>
  <c r="AL35" i="66" s="1"/>
  <c r="Z35" i="66"/>
  <c r="V35" i="66"/>
  <c r="R35" i="66"/>
  <c r="N35" i="66"/>
  <c r="J35" i="66"/>
  <c r="F35" i="66"/>
  <c r="AH34" i="66"/>
  <c r="AP34" i="66" s="1"/>
  <c r="AG34" i="66"/>
  <c r="AN34" i="66" s="1"/>
  <c r="AF34" i="66"/>
  <c r="AL34" i="66" s="1"/>
  <c r="Z34" i="66"/>
  <c r="V34" i="66"/>
  <c r="R34" i="66"/>
  <c r="N34" i="66"/>
  <c r="J34" i="66"/>
  <c r="F34" i="66"/>
  <c r="AH33" i="66"/>
  <c r="AP33" i="66" s="1"/>
  <c r="AG33" i="66"/>
  <c r="AN33" i="66" s="1"/>
  <c r="AF33" i="66"/>
  <c r="AL33" i="66" s="1"/>
  <c r="Z33" i="66"/>
  <c r="V33" i="66"/>
  <c r="R33" i="66"/>
  <c r="N33" i="66"/>
  <c r="J33" i="66"/>
  <c r="F33" i="66"/>
  <c r="AH32" i="66"/>
  <c r="AP32" i="66" s="1"/>
  <c r="AG32" i="66"/>
  <c r="AN32" i="66" s="1"/>
  <c r="AF32" i="66"/>
  <c r="AL32" i="66" s="1"/>
  <c r="Z32" i="66"/>
  <c r="V32" i="66"/>
  <c r="R32" i="66"/>
  <c r="N32" i="66"/>
  <c r="J32" i="66"/>
  <c r="F32" i="66"/>
  <c r="AH31" i="66"/>
  <c r="AP31" i="66" s="1"/>
  <c r="AG31" i="66"/>
  <c r="AN31" i="66" s="1"/>
  <c r="AF31" i="66"/>
  <c r="AL31" i="66" s="1"/>
  <c r="Z31" i="66"/>
  <c r="V31" i="66"/>
  <c r="R31" i="66"/>
  <c r="N31" i="66"/>
  <c r="J31" i="66"/>
  <c r="F31" i="66"/>
  <c r="AH30" i="66"/>
  <c r="AP30" i="66" s="1"/>
  <c r="AG30" i="66"/>
  <c r="AN30" i="66" s="1"/>
  <c r="AF30" i="66"/>
  <c r="AL30" i="66" s="1"/>
  <c r="Z30" i="66"/>
  <c r="V30" i="66"/>
  <c r="R30" i="66"/>
  <c r="N30" i="66"/>
  <c r="J30" i="66"/>
  <c r="F30" i="66"/>
  <c r="AH29" i="66"/>
  <c r="AP29" i="66" s="1"/>
  <c r="AG29" i="66"/>
  <c r="AN29" i="66" s="1"/>
  <c r="AF29" i="66"/>
  <c r="AL29" i="66" s="1"/>
  <c r="Z29" i="66"/>
  <c r="V29" i="66"/>
  <c r="R29" i="66"/>
  <c r="N29" i="66"/>
  <c r="J29" i="66"/>
  <c r="F29" i="66"/>
  <c r="AH28" i="66"/>
  <c r="AP28" i="66" s="1"/>
  <c r="AG28" i="66"/>
  <c r="AN28" i="66" s="1"/>
  <c r="AF28" i="66"/>
  <c r="AL28" i="66" s="1"/>
  <c r="Z28" i="66"/>
  <c r="V28" i="66"/>
  <c r="R28" i="66"/>
  <c r="N28" i="66"/>
  <c r="J28" i="66"/>
  <c r="F28" i="66"/>
  <c r="AH27" i="66"/>
  <c r="AP27" i="66" s="1"/>
  <c r="AG27" i="66"/>
  <c r="AN27" i="66" s="1"/>
  <c r="AF27" i="66"/>
  <c r="AL27" i="66" s="1"/>
  <c r="Z27" i="66"/>
  <c r="V27" i="66"/>
  <c r="R27" i="66"/>
  <c r="N27" i="66"/>
  <c r="J27" i="66"/>
  <c r="F27" i="66"/>
  <c r="AH26" i="66"/>
  <c r="AP26" i="66" s="1"/>
  <c r="AG26" i="66"/>
  <c r="AN26" i="66" s="1"/>
  <c r="AF26" i="66"/>
  <c r="AL26" i="66" s="1"/>
  <c r="Z26" i="66"/>
  <c r="V26" i="66"/>
  <c r="R26" i="66"/>
  <c r="N26" i="66"/>
  <c r="J26" i="66"/>
  <c r="F26" i="66"/>
  <c r="AH25" i="66"/>
  <c r="AP25" i="66" s="1"/>
  <c r="AG25" i="66"/>
  <c r="AN25" i="66" s="1"/>
  <c r="AF25" i="66"/>
  <c r="AL25" i="66" s="1"/>
  <c r="Z25" i="66"/>
  <c r="V25" i="66"/>
  <c r="R25" i="66"/>
  <c r="N25" i="66"/>
  <c r="J25" i="66"/>
  <c r="F25" i="66"/>
  <c r="AH24" i="66"/>
  <c r="AP24" i="66" s="1"/>
  <c r="AG24" i="66"/>
  <c r="AN24" i="66" s="1"/>
  <c r="AF24" i="66"/>
  <c r="AL24" i="66" s="1"/>
  <c r="Z24" i="66"/>
  <c r="V24" i="66"/>
  <c r="R24" i="66"/>
  <c r="N24" i="66"/>
  <c r="J24" i="66"/>
  <c r="F24" i="66"/>
  <c r="AH23" i="66"/>
  <c r="AP23" i="66" s="1"/>
  <c r="AG23" i="66"/>
  <c r="AN23" i="66" s="1"/>
  <c r="AF23" i="66"/>
  <c r="AL23" i="66" s="1"/>
  <c r="Z23" i="66"/>
  <c r="V23" i="66"/>
  <c r="R23" i="66"/>
  <c r="N23" i="66"/>
  <c r="J23" i="66"/>
  <c r="F23" i="66"/>
  <c r="AH22" i="66"/>
  <c r="AP22" i="66" s="1"/>
  <c r="AG22" i="66"/>
  <c r="AN22" i="66" s="1"/>
  <c r="AF22" i="66"/>
  <c r="AL22" i="66" s="1"/>
  <c r="Z22" i="66"/>
  <c r="V22" i="66"/>
  <c r="R22" i="66"/>
  <c r="N22" i="66"/>
  <c r="J22" i="66"/>
  <c r="F22" i="66"/>
  <c r="AH21" i="66"/>
  <c r="AP21" i="66" s="1"/>
  <c r="AG21" i="66"/>
  <c r="AN21" i="66" s="1"/>
  <c r="AF21" i="66"/>
  <c r="AL21" i="66" s="1"/>
  <c r="Z21" i="66"/>
  <c r="V21" i="66"/>
  <c r="R21" i="66"/>
  <c r="N21" i="66"/>
  <c r="J21" i="66"/>
  <c r="F21" i="66"/>
  <c r="AH20" i="66"/>
  <c r="AP20" i="66" s="1"/>
  <c r="AG20" i="66"/>
  <c r="AN20" i="66" s="1"/>
  <c r="AF20" i="66"/>
  <c r="AL20" i="66" s="1"/>
  <c r="Z20" i="66"/>
  <c r="V20" i="66"/>
  <c r="R20" i="66"/>
  <c r="N20" i="66"/>
  <c r="J20" i="66"/>
  <c r="F20" i="66"/>
  <c r="AH19" i="66"/>
  <c r="AP19" i="66" s="1"/>
  <c r="AG19" i="66"/>
  <c r="AN19" i="66" s="1"/>
  <c r="AF19" i="66"/>
  <c r="AL19" i="66" s="1"/>
  <c r="Z19" i="66"/>
  <c r="V19" i="66"/>
  <c r="R19" i="66"/>
  <c r="N19" i="66"/>
  <c r="J19" i="66"/>
  <c r="F19" i="66"/>
  <c r="AH18" i="66"/>
  <c r="AP18" i="66" s="1"/>
  <c r="AG18" i="66"/>
  <c r="AN18" i="66" s="1"/>
  <c r="AF18" i="66"/>
  <c r="AL18" i="66" s="1"/>
  <c r="Z18" i="66"/>
  <c r="V18" i="66"/>
  <c r="R18" i="66"/>
  <c r="N18" i="66"/>
  <c r="J18" i="66"/>
  <c r="F18" i="66"/>
  <c r="AH17" i="66"/>
  <c r="AP17" i="66" s="1"/>
  <c r="AG17" i="66"/>
  <c r="AN17" i="66" s="1"/>
  <c r="AF17" i="66"/>
  <c r="AL17" i="66" s="1"/>
  <c r="Z17" i="66"/>
  <c r="V17" i="66"/>
  <c r="R17" i="66"/>
  <c r="N17" i="66"/>
  <c r="J17" i="66"/>
  <c r="F17" i="66"/>
  <c r="AH16" i="66"/>
  <c r="AP16" i="66" s="1"/>
  <c r="AG16" i="66"/>
  <c r="AN16" i="66" s="1"/>
  <c r="AF16" i="66"/>
  <c r="AL16" i="66" s="1"/>
  <c r="Z16" i="66"/>
  <c r="V16" i="66"/>
  <c r="R16" i="66"/>
  <c r="N16" i="66"/>
  <c r="J16" i="66"/>
  <c r="F16" i="66"/>
  <c r="AH15" i="66"/>
  <c r="AP15" i="66" s="1"/>
  <c r="AG15" i="66"/>
  <c r="AN15" i="66" s="1"/>
  <c r="AF15" i="66"/>
  <c r="AL15" i="66" s="1"/>
  <c r="Z15" i="66"/>
  <c r="V15" i="66"/>
  <c r="R15" i="66"/>
  <c r="N15" i="66"/>
  <c r="J15" i="66"/>
  <c r="F15" i="66"/>
  <c r="AH14" i="66"/>
  <c r="AP14" i="66" s="1"/>
  <c r="AG14" i="66"/>
  <c r="AN14" i="66" s="1"/>
  <c r="AF14" i="66"/>
  <c r="AL14" i="66" s="1"/>
  <c r="Z14" i="66"/>
  <c r="V14" i="66"/>
  <c r="R14" i="66"/>
  <c r="N14" i="66"/>
  <c r="J14" i="66"/>
  <c r="F14" i="66"/>
  <c r="AH13" i="66"/>
  <c r="AP13" i="66" s="1"/>
  <c r="AG13" i="66"/>
  <c r="AN13" i="66" s="1"/>
  <c r="AF13" i="66"/>
  <c r="AL13" i="66" s="1"/>
  <c r="Z13" i="66"/>
  <c r="V13" i="66"/>
  <c r="R13" i="66"/>
  <c r="N13" i="66"/>
  <c r="J13" i="66"/>
  <c r="F13" i="66"/>
  <c r="AH12" i="66"/>
  <c r="AP12" i="66" s="1"/>
  <c r="AG12" i="66"/>
  <c r="AN12" i="66" s="1"/>
  <c r="AF12" i="66"/>
  <c r="AL12" i="66" s="1"/>
  <c r="Z12" i="66"/>
  <c r="V12" i="66"/>
  <c r="R12" i="66"/>
  <c r="N12" i="66"/>
  <c r="J12" i="66"/>
  <c r="F12" i="66"/>
  <c r="AH11" i="66"/>
  <c r="AP11" i="66" s="1"/>
  <c r="AG11" i="66"/>
  <c r="AN11" i="66" s="1"/>
  <c r="AF11" i="66"/>
  <c r="AL11" i="66" s="1"/>
  <c r="Z11" i="66"/>
  <c r="V11" i="66"/>
  <c r="R11" i="66"/>
  <c r="N11" i="66"/>
  <c r="J11" i="66"/>
  <c r="F11" i="66"/>
  <c r="AH10" i="66"/>
  <c r="AP10" i="66" s="1"/>
  <c r="AG10" i="66"/>
  <c r="AN10" i="66" s="1"/>
  <c r="AF10" i="66"/>
  <c r="AL10" i="66" s="1"/>
  <c r="Z10" i="66"/>
  <c r="V10" i="66"/>
  <c r="R10" i="66"/>
  <c r="N10" i="66"/>
  <c r="J10" i="66"/>
  <c r="F10" i="66"/>
  <c r="AH9" i="66"/>
  <c r="AP9" i="66" s="1"/>
  <c r="AG9" i="66"/>
  <c r="AN9" i="66" s="1"/>
  <c r="AF9" i="66"/>
  <c r="AL9" i="66" s="1"/>
  <c r="Z9" i="66"/>
  <c r="V9" i="66"/>
  <c r="R9" i="66"/>
  <c r="N9" i="66"/>
  <c r="J9" i="66"/>
  <c r="F9" i="66"/>
  <c r="AH8" i="66"/>
  <c r="AP8" i="66" s="1"/>
  <c r="AG8" i="66"/>
  <c r="AN8" i="66" s="1"/>
  <c r="AF8" i="66"/>
  <c r="AL8" i="66" s="1"/>
  <c r="Z8" i="66"/>
  <c r="V8" i="66"/>
  <c r="R8" i="66"/>
  <c r="N8" i="66"/>
  <c r="J8" i="66"/>
  <c r="F8" i="66"/>
  <c r="AG6" i="66"/>
  <c r="AE6" i="66"/>
  <c r="AM5" i="66"/>
  <c r="AK5" i="66"/>
  <c r="AH8" i="2"/>
  <c r="AH9" i="2"/>
  <c r="AH10" i="2"/>
  <c r="AG8" i="2"/>
  <c r="AN8" i="2" s="1"/>
  <c r="AG9" i="2"/>
  <c r="AN9" i="2" s="1"/>
  <c r="AG10" i="2"/>
  <c r="AN10" i="2" s="1"/>
  <c r="AG11" i="2"/>
  <c r="AN11" i="2" s="1"/>
  <c r="AG12" i="2"/>
  <c r="AN12" i="2" s="1"/>
  <c r="AG13" i="2"/>
  <c r="AN13" i="2" s="1"/>
  <c r="AG14" i="2"/>
  <c r="AN14" i="2" s="1"/>
  <c r="AG15" i="2"/>
  <c r="AN15" i="2" s="1"/>
  <c r="AG16" i="2"/>
  <c r="AN16" i="2" s="1"/>
  <c r="AF8" i="2"/>
  <c r="AF9" i="2"/>
  <c r="AF10" i="2"/>
  <c r="AF11" i="2"/>
  <c r="AF12" i="2"/>
  <c r="AF13" i="2"/>
  <c r="AF14" i="2"/>
  <c r="AF15" i="2"/>
  <c r="AF16" i="2"/>
  <c r="AH18" i="2"/>
  <c r="AH25" i="2"/>
  <c r="AH26" i="2"/>
  <c r="AH27" i="2"/>
  <c r="AH28" i="2"/>
  <c r="AH34" i="2"/>
  <c r="AH35" i="2"/>
  <c r="AH36" i="2"/>
  <c r="AH17" i="2"/>
  <c r="AG18" i="2"/>
  <c r="AN18" i="2" s="1"/>
  <c r="AG19" i="2"/>
  <c r="AN19" i="2" s="1"/>
  <c r="AG20" i="2"/>
  <c r="AN20" i="2" s="1"/>
  <c r="AG21" i="2"/>
  <c r="AN21" i="2" s="1"/>
  <c r="AG22" i="2"/>
  <c r="AN22" i="2" s="1"/>
  <c r="AG23" i="2"/>
  <c r="AN23" i="2" s="1"/>
  <c r="AG24" i="2"/>
  <c r="AN24" i="2" s="1"/>
  <c r="AG25" i="2"/>
  <c r="AN25" i="2" s="1"/>
  <c r="AG26" i="2"/>
  <c r="AN26" i="2" s="1"/>
  <c r="AG27" i="2"/>
  <c r="AN27" i="2" s="1"/>
  <c r="AG28" i="2"/>
  <c r="AN28" i="2" s="1"/>
  <c r="AG29" i="2"/>
  <c r="AN29" i="2" s="1"/>
  <c r="AG30" i="2"/>
  <c r="AN30" i="2" s="1"/>
  <c r="AG31" i="2"/>
  <c r="AN31" i="2" s="1"/>
  <c r="AG32" i="2"/>
  <c r="AN32" i="2" s="1"/>
  <c r="AG33" i="2"/>
  <c r="AN33" i="2" s="1"/>
  <c r="AG34" i="2"/>
  <c r="AN34" i="2" s="1"/>
  <c r="AG35" i="2"/>
  <c r="AN35" i="2" s="1"/>
  <c r="AG36" i="2"/>
  <c r="AN36" i="2" s="1"/>
  <c r="AG37" i="2"/>
  <c r="AN37" i="2" s="1"/>
  <c r="AG38" i="2"/>
  <c r="AN38" i="2" s="1"/>
  <c r="AG17" i="2"/>
  <c r="AN17" i="2" s="1"/>
  <c r="AF18" i="2"/>
  <c r="AF19" i="2"/>
  <c r="AF20" i="2"/>
  <c r="AF21" i="2"/>
  <c r="AF22" i="2"/>
  <c r="AF23" i="2"/>
  <c r="AF24" i="2"/>
  <c r="AF25" i="2"/>
  <c r="AF26" i="2"/>
  <c r="AF27" i="2"/>
  <c r="AF28" i="2"/>
  <c r="AF29" i="2"/>
  <c r="AF30" i="2"/>
  <c r="AF31" i="2"/>
  <c r="AF32" i="2"/>
  <c r="AF33" i="2"/>
  <c r="AF34" i="2"/>
  <c r="AF35" i="2"/>
  <c r="AF36" i="2"/>
  <c r="AF37" i="2"/>
  <c r="AF38" i="2"/>
  <c r="AF17" i="2"/>
  <c r="Z41" i="74" l="1"/>
  <c r="C13" i="1"/>
  <c r="C8" i="1"/>
  <c r="V41" i="76"/>
  <c r="N41" i="76"/>
  <c r="V41" i="75"/>
  <c r="R41" i="75"/>
  <c r="F41" i="75"/>
  <c r="V41" i="74"/>
  <c r="N41" i="74"/>
  <c r="R41" i="73"/>
  <c r="N41" i="73"/>
  <c r="J41" i="73"/>
  <c r="V41" i="72"/>
  <c r="V41" i="71"/>
  <c r="R41" i="71"/>
  <c r="N41" i="71"/>
  <c r="V41" i="66"/>
  <c r="R41" i="66"/>
  <c r="N41" i="66"/>
  <c r="J41" i="66"/>
  <c r="R41" i="67"/>
  <c r="AH11" i="69"/>
  <c r="AP11" i="69" s="1"/>
  <c r="AH20" i="69"/>
  <c r="AP20" i="69" s="1"/>
  <c r="Y39" i="69"/>
  <c r="Y40" i="69" s="1"/>
  <c r="Z10" i="1" s="1"/>
  <c r="AH21" i="69"/>
  <c r="AP21" i="69" s="1"/>
  <c r="AH33" i="69"/>
  <c r="AP33" i="69" s="1"/>
  <c r="R20" i="69"/>
  <c r="AA20" i="69" s="1"/>
  <c r="AM20" i="69" s="1"/>
  <c r="AH25" i="69"/>
  <c r="AP25" i="69" s="1"/>
  <c r="Z33" i="69"/>
  <c r="Z10" i="69"/>
  <c r="F26" i="69"/>
  <c r="AA26" i="69" s="1"/>
  <c r="AM26" i="69" s="1"/>
  <c r="I41" i="69"/>
  <c r="R21" i="69"/>
  <c r="AA21" i="69" s="1"/>
  <c r="AO21" i="69" s="1"/>
  <c r="AH24" i="69"/>
  <c r="AP24" i="69" s="1"/>
  <c r="AH34" i="69"/>
  <c r="AP34" i="69" s="1"/>
  <c r="I39" i="69"/>
  <c r="I40" i="69" s="1"/>
  <c r="J10" i="1" s="1"/>
  <c r="F27" i="69"/>
  <c r="AA27" i="69" s="1"/>
  <c r="AO27" i="69" s="1"/>
  <c r="Q41" i="69"/>
  <c r="Y41" i="69"/>
  <c r="Z24" i="69"/>
  <c r="AA24" i="69" s="1"/>
  <c r="AO24" i="69" s="1"/>
  <c r="AH10" i="69"/>
  <c r="AP10" i="69" s="1"/>
  <c r="AH19" i="69"/>
  <c r="AP19" i="69" s="1"/>
  <c r="Q39" i="69"/>
  <c r="Q40" i="69" s="1"/>
  <c r="R10" i="1" s="1"/>
  <c r="S10" i="1" s="1"/>
  <c r="R10" i="69"/>
  <c r="R11" i="69"/>
  <c r="AA11" i="69" s="1"/>
  <c r="AM11" i="69" s="1"/>
  <c r="AH12" i="69"/>
  <c r="AP12" i="69" s="1"/>
  <c r="AH35" i="69"/>
  <c r="AP35" i="69" s="1"/>
  <c r="AH37" i="69"/>
  <c r="AP37" i="69" s="1"/>
  <c r="AH30" i="69"/>
  <c r="AP30" i="69" s="1"/>
  <c r="F31" i="69"/>
  <c r="AA31" i="69" s="1"/>
  <c r="AQ31" i="69" s="1"/>
  <c r="F32" i="69"/>
  <c r="AA32" i="69" s="1"/>
  <c r="AM32" i="69" s="1"/>
  <c r="E41" i="69"/>
  <c r="E39" i="69"/>
  <c r="E40" i="69" s="1"/>
  <c r="F10" i="1" s="1"/>
  <c r="G10" i="1" s="1"/>
  <c r="F9" i="69"/>
  <c r="F18" i="69"/>
  <c r="AA18" i="69" s="1"/>
  <c r="AO18" i="69" s="1"/>
  <c r="F10" i="69"/>
  <c r="F19" i="69"/>
  <c r="AA19" i="69" s="1"/>
  <c r="AM19" i="69" s="1"/>
  <c r="V41" i="70"/>
  <c r="Q41" i="70"/>
  <c r="AH8" i="70"/>
  <c r="AP8" i="70" s="1"/>
  <c r="AH9" i="70"/>
  <c r="AP9" i="70" s="1"/>
  <c r="AH13" i="70"/>
  <c r="AP13" i="70" s="1"/>
  <c r="AH22" i="70"/>
  <c r="AP22" i="70" s="1"/>
  <c r="AH33" i="70"/>
  <c r="AP33" i="70" s="1"/>
  <c r="Q39" i="70"/>
  <c r="R41" i="70"/>
  <c r="J8" i="70"/>
  <c r="J41" i="70" s="1"/>
  <c r="F14" i="70"/>
  <c r="AA14" i="70" s="1"/>
  <c r="AQ14" i="70" s="1"/>
  <c r="F15" i="70"/>
  <c r="AA15" i="70" s="1"/>
  <c r="F16" i="70"/>
  <c r="AA16" i="70" s="1"/>
  <c r="AO16" i="70" s="1"/>
  <c r="I39" i="70"/>
  <c r="I40" i="70" s="1"/>
  <c r="J9" i="1" s="1"/>
  <c r="AH19" i="70"/>
  <c r="AP19" i="70" s="1"/>
  <c r="AH30" i="70"/>
  <c r="AP30" i="70" s="1"/>
  <c r="F19" i="70"/>
  <c r="AA19" i="70" s="1"/>
  <c r="AM19" i="70" s="1"/>
  <c r="AH20" i="70"/>
  <c r="AP20" i="70" s="1"/>
  <c r="AH29" i="70"/>
  <c r="AP29" i="70" s="1"/>
  <c r="F22" i="70"/>
  <c r="F30" i="70"/>
  <c r="AA30" i="70" s="1"/>
  <c r="AO30" i="70" s="1"/>
  <c r="F23" i="70"/>
  <c r="AA23" i="70" s="1"/>
  <c r="AQ23" i="70" s="1"/>
  <c r="F32" i="70"/>
  <c r="AA32" i="70" s="1"/>
  <c r="AQ32" i="70" s="1"/>
  <c r="F33" i="70"/>
  <c r="AA33" i="70" s="1"/>
  <c r="AM33" i="70" s="1"/>
  <c r="E39" i="70"/>
  <c r="AH33" i="2"/>
  <c r="AP33" i="2" s="1"/>
  <c r="AH20" i="2"/>
  <c r="AP20" i="2" s="1"/>
  <c r="AH31" i="2"/>
  <c r="AP31" i="2" s="1"/>
  <c r="AH38" i="2"/>
  <c r="AP38" i="2" s="1"/>
  <c r="AH30" i="2"/>
  <c r="AP30" i="2" s="1"/>
  <c r="AH22" i="2"/>
  <c r="AP22" i="2" s="1"/>
  <c r="AH19" i="2"/>
  <c r="AP19" i="2" s="1"/>
  <c r="AH13" i="2"/>
  <c r="AP13" i="2" s="1"/>
  <c r="AH11" i="2"/>
  <c r="AP11" i="2" s="1"/>
  <c r="AH12" i="2"/>
  <c r="AP12" i="2" s="1"/>
  <c r="AH32" i="2"/>
  <c r="AP32" i="2" s="1"/>
  <c r="AH24" i="2"/>
  <c r="AP24" i="2" s="1"/>
  <c r="AH29" i="2"/>
  <c r="AP29" i="2" s="1"/>
  <c r="AH23" i="2"/>
  <c r="AP23" i="2" s="1"/>
  <c r="AH15" i="2"/>
  <c r="Z41" i="70"/>
  <c r="V41" i="69"/>
  <c r="J41" i="69"/>
  <c r="Z41" i="68"/>
  <c r="N41" i="68"/>
  <c r="J41" i="68"/>
  <c r="Z41" i="66"/>
  <c r="S13" i="1"/>
  <c r="F41" i="66"/>
  <c r="Z41" i="71"/>
  <c r="J41" i="71"/>
  <c r="F41" i="71"/>
  <c r="Z41" i="72"/>
  <c r="R41" i="72"/>
  <c r="N41" i="72"/>
  <c r="AA24" i="72"/>
  <c r="AM24" i="72" s="1"/>
  <c r="J41" i="72"/>
  <c r="F41" i="72"/>
  <c r="Z41" i="73"/>
  <c r="V41" i="73"/>
  <c r="F41" i="73"/>
  <c r="F41" i="74"/>
  <c r="R41" i="74"/>
  <c r="J41" i="74"/>
  <c r="J41" i="75"/>
  <c r="AL41" i="75"/>
  <c r="Z41" i="75"/>
  <c r="N41" i="75"/>
  <c r="R41" i="76"/>
  <c r="J41" i="76"/>
  <c r="F41" i="76"/>
  <c r="S19" i="1"/>
  <c r="AL41" i="76"/>
  <c r="AG41" i="76"/>
  <c r="AP41" i="76"/>
  <c r="AF41" i="76"/>
  <c r="AH41" i="76"/>
  <c r="S18" i="1"/>
  <c r="AG41" i="75"/>
  <c r="AP41" i="75"/>
  <c r="AF41" i="75"/>
  <c r="AH41" i="75"/>
  <c r="G18" i="1"/>
  <c r="AL41" i="74"/>
  <c r="AN41" i="74"/>
  <c r="AP41" i="74"/>
  <c r="AF41" i="74"/>
  <c r="AG41" i="74"/>
  <c r="AH41" i="74"/>
  <c r="AN41" i="73"/>
  <c r="AH41" i="73"/>
  <c r="AL41" i="73"/>
  <c r="AF41" i="73"/>
  <c r="AG41" i="73"/>
  <c r="AL41" i="72"/>
  <c r="AN41" i="72"/>
  <c r="AP41" i="72"/>
  <c r="AF41" i="72"/>
  <c r="AG41" i="72"/>
  <c r="AH41" i="72"/>
  <c r="AG41" i="71"/>
  <c r="AP41" i="71"/>
  <c r="AL41" i="71"/>
  <c r="AH41" i="71"/>
  <c r="AF41" i="71"/>
  <c r="AN41" i="66"/>
  <c r="AL41" i="66"/>
  <c r="AP41" i="66"/>
  <c r="G13" i="1"/>
  <c r="AF41" i="66"/>
  <c r="AG41" i="66"/>
  <c r="AH41" i="66"/>
  <c r="V41" i="68"/>
  <c r="R41" i="68"/>
  <c r="F41" i="68"/>
  <c r="Z39" i="70"/>
  <c r="V39" i="70"/>
  <c r="N39" i="70"/>
  <c r="AN41" i="2"/>
  <c r="V41" i="67"/>
  <c r="N41" i="67"/>
  <c r="F41" i="67"/>
  <c r="Z41" i="67"/>
  <c r="J41" i="67"/>
  <c r="S12" i="1"/>
  <c r="AL41" i="67"/>
  <c r="AN41" i="67"/>
  <c r="AP41" i="67"/>
  <c r="AF41" i="67"/>
  <c r="AG41" i="67"/>
  <c r="AH41" i="67"/>
  <c r="AN41" i="68"/>
  <c r="AP41" i="68"/>
  <c r="AF41" i="68"/>
  <c r="AG41" i="68"/>
  <c r="AH41" i="68"/>
  <c r="N41" i="69"/>
  <c r="AN41" i="69"/>
  <c r="O10" i="1"/>
  <c r="AF41" i="69"/>
  <c r="AG41" i="69"/>
  <c r="R39" i="70"/>
  <c r="R40" i="70" s="1"/>
  <c r="N41" i="70"/>
  <c r="AN41" i="70"/>
  <c r="AL41" i="70"/>
  <c r="AF41" i="70"/>
  <c r="AG41" i="70"/>
  <c r="AF41" i="2"/>
  <c r="AG41" i="2"/>
  <c r="Z41" i="76"/>
  <c r="X10" i="1"/>
  <c r="C17" i="39"/>
  <c r="C8" i="39"/>
  <c r="C13" i="39"/>
  <c r="C12" i="39"/>
  <c r="C11" i="39"/>
  <c r="C10" i="39"/>
  <c r="C14" i="39"/>
  <c r="C19" i="39"/>
  <c r="C18" i="39"/>
  <c r="C16" i="39"/>
  <c r="C12" i="1"/>
  <c r="C11" i="1"/>
  <c r="C10" i="1"/>
  <c r="C14" i="1"/>
  <c r="C19" i="1"/>
  <c r="C18" i="1"/>
  <c r="C17" i="1"/>
  <c r="C16" i="1"/>
  <c r="S17" i="1"/>
  <c r="G17" i="1"/>
  <c r="S16" i="1"/>
  <c r="G16" i="1"/>
  <c r="S15" i="1"/>
  <c r="G15" i="1"/>
  <c r="G12" i="1"/>
  <c r="C40" i="76"/>
  <c r="D19" i="1" s="1"/>
  <c r="G19" i="1" s="1"/>
  <c r="K40" i="76"/>
  <c r="L19" i="1" s="1"/>
  <c r="O19" i="1" s="1"/>
  <c r="AA24" i="76"/>
  <c r="AM24" i="76" s="1"/>
  <c r="AA23" i="76"/>
  <c r="AM23" i="76" s="1"/>
  <c r="AG39" i="76"/>
  <c r="AH39" i="76"/>
  <c r="AA15" i="76"/>
  <c r="AQ15" i="76" s="1"/>
  <c r="AA33" i="76"/>
  <c r="AO33" i="76" s="1"/>
  <c r="W40" i="76"/>
  <c r="X19" i="1" s="1"/>
  <c r="AA14" i="76"/>
  <c r="AQ14" i="76" s="1"/>
  <c r="J39" i="76"/>
  <c r="J40" i="76" s="1"/>
  <c r="AA32" i="76"/>
  <c r="AM32" i="76" s="1"/>
  <c r="X40" i="76"/>
  <c r="Y19" i="1" s="1"/>
  <c r="Y40" i="76"/>
  <c r="Z19" i="1" s="1"/>
  <c r="AP39" i="76"/>
  <c r="AL39" i="76"/>
  <c r="AN8" i="76"/>
  <c r="H40" i="76"/>
  <c r="I19" i="1" s="1"/>
  <c r="T40" i="76"/>
  <c r="U19" i="1" s="1"/>
  <c r="AA10" i="76"/>
  <c r="AM10" i="76" s="1"/>
  <c r="AA19" i="76"/>
  <c r="AM19" i="76" s="1"/>
  <c r="AA28" i="76"/>
  <c r="AM28" i="76" s="1"/>
  <c r="AF39" i="76"/>
  <c r="I40" i="76"/>
  <c r="J19" i="1" s="1"/>
  <c r="U40" i="76"/>
  <c r="V19" i="1" s="1"/>
  <c r="V39" i="76"/>
  <c r="AA9" i="76"/>
  <c r="AO9" i="76" s="1"/>
  <c r="AA18" i="76"/>
  <c r="AQ18" i="76" s="1"/>
  <c r="AA27" i="76"/>
  <c r="AO27" i="76" s="1"/>
  <c r="AA36" i="76"/>
  <c r="AM36" i="76" s="1"/>
  <c r="AA17" i="76"/>
  <c r="AO17" i="76" s="1"/>
  <c r="AA26" i="76"/>
  <c r="AO26" i="76" s="1"/>
  <c r="AA35" i="76"/>
  <c r="AO35" i="76" s="1"/>
  <c r="F39" i="76"/>
  <c r="R39" i="76"/>
  <c r="AA16" i="76"/>
  <c r="AM16" i="76" s="1"/>
  <c r="AA25" i="76"/>
  <c r="AM25" i="76" s="1"/>
  <c r="AA34" i="76"/>
  <c r="AM34" i="76" s="1"/>
  <c r="AA37" i="76"/>
  <c r="AM37" i="76" s="1"/>
  <c r="AA13" i="76"/>
  <c r="AM13" i="76" s="1"/>
  <c r="AA22" i="76"/>
  <c r="AM22" i="76" s="1"/>
  <c r="AA31" i="76"/>
  <c r="AM31" i="76" s="1"/>
  <c r="AA12" i="76"/>
  <c r="AQ12" i="76" s="1"/>
  <c r="AA21" i="76"/>
  <c r="AQ21" i="76" s="1"/>
  <c r="AA30" i="76"/>
  <c r="AQ30" i="76" s="1"/>
  <c r="AA11" i="76"/>
  <c r="AO11" i="76" s="1"/>
  <c r="AA20" i="76"/>
  <c r="AM20" i="76" s="1"/>
  <c r="AA29" i="76"/>
  <c r="AQ29" i="76" s="1"/>
  <c r="AA38" i="76"/>
  <c r="AQ38" i="76" s="1"/>
  <c r="N39" i="76"/>
  <c r="Z39" i="76"/>
  <c r="AA33" i="75"/>
  <c r="AQ33" i="75" s="1"/>
  <c r="M40" i="75"/>
  <c r="N18" i="1" s="1"/>
  <c r="O18" i="1" s="1"/>
  <c r="T40" i="75"/>
  <c r="U18" i="1" s="1"/>
  <c r="U40" i="75"/>
  <c r="V18" i="1" s="1"/>
  <c r="W40" i="75"/>
  <c r="X18" i="1" s="1"/>
  <c r="X40" i="75"/>
  <c r="Y18" i="1" s="1"/>
  <c r="R39" i="75"/>
  <c r="R40" i="75" s="1"/>
  <c r="Y40" i="75"/>
  <c r="Z18" i="1" s="1"/>
  <c r="AL39" i="75"/>
  <c r="AL40" i="75" s="1"/>
  <c r="H40" i="75"/>
  <c r="I18" i="1" s="1"/>
  <c r="AA21" i="75"/>
  <c r="AM21" i="75" s="1"/>
  <c r="I40" i="75"/>
  <c r="J18" i="1" s="1"/>
  <c r="AA9" i="75"/>
  <c r="AM9" i="75" s="1"/>
  <c r="AP39" i="75"/>
  <c r="AF39" i="75"/>
  <c r="AA19" i="75"/>
  <c r="AM19" i="75" s="1"/>
  <c r="AA20" i="75"/>
  <c r="AO20" i="75" s="1"/>
  <c r="AA31" i="75"/>
  <c r="AM31" i="75" s="1"/>
  <c r="AA32" i="75"/>
  <c r="AO32" i="75" s="1"/>
  <c r="AG39" i="75"/>
  <c r="AA18" i="75"/>
  <c r="AO18" i="75" s="1"/>
  <c r="AA30" i="75"/>
  <c r="AO30" i="75" s="1"/>
  <c r="AA16" i="75"/>
  <c r="AM16" i="75" s="1"/>
  <c r="AA17" i="75"/>
  <c r="AO17" i="75" s="1"/>
  <c r="AA28" i="75"/>
  <c r="AM28" i="75" s="1"/>
  <c r="AA29" i="75"/>
  <c r="AO29" i="75" s="1"/>
  <c r="AH39" i="75"/>
  <c r="AA15" i="75"/>
  <c r="AO15" i="75" s="1"/>
  <c r="AA27" i="75"/>
  <c r="AO27" i="75" s="1"/>
  <c r="J39" i="75"/>
  <c r="V39" i="75"/>
  <c r="AA13" i="75"/>
  <c r="AM13" i="75" s="1"/>
  <c r="AA14" i="75"/>
  <c r="AO14" i="75" s="1"/>
  <c r="AA25" i="75"/>
  <c r="AM25" i="75" s="1"/>
  <c r="AA26" i="75"/>
  <c r="AO26" i="75" s="1"/>
  <c r="AA37" i="75"/>
  <c r="AM37" i="75" s="1"/>
  <c r="AA38" i="75"/>
  <c r="AO38" i="75" s="1"/>
  <c r="F39" i="75"/>
  <c r="AA12" i="75"/>
  <c r="AQ12" i="75" s="1"/>
  <c r="AA24" i="75"/>
  <c r="AM24" i="75" s="1"/>
  <c r="AA36" i="75"/>
  <c r="AQ36" i="75" s="1"/>
  <c r="AA10" i="75"/>
  <c r="AM10" i="75" s="1"/>
  <c r="AA11" i="75"/>
  <c r="AO11" i="75" s="1"/>
  <c r="AA22" i="75"/>
  <c r="AM22" i="75" s="1"/>
  <c r="AA23" i="75"/>
  <c r="AO23" i="75" s="1"/>
  <c r="AA34" i="75"/>
  <c r="AM34" i="75" s="1"/>
  <c r="AA35" i="75"/>
  <c r="AO35" i="75" s="1"/>
  <c r="N39" i="75"/>
  <c r="Z39" i="75"/>
  <c r="AA9" i="74"/>
  <c r="AO9" i="74" s="1"/>
  <c r="AA21" i="74"/>
  <c r="AO21" i="74" s="1"/>
  <c r="K40" i="74"/>
  <c r="L17" i="1" s="1"/>
  <c r="O17" i="1" s="1"/>
  <c r="T40" i="74"/>
  <c r="U17" i="1" s="1"/>
  <c r="U40" i="74"/>
  <c r="V17" i="1" s="1"/>
  <c r="W40" i="74"/>
  <c r="X17" i="1" s="1"/>
  <c r="AA17" i="1" s="1"/>
  <c r="F39" i="74"/>
  <c r="F40" i="74" s="1"/>
  <c r="AA38" i="74"/>
  <c r="AO38" i="74" s="1"/>
  <c r="AA16" i="74"/>
  <c r="AQ16" i="74" s="1"/>
  <c r="R39" i="74"/>
  <c r="V39" i="74"/>
  <c r="V40" i="74" s="1"/>
  <c r="AA15" i="74"/>
  <c r="AQ15" i="74" s="1"/>
  <c r="AN39" i="74"/>
  <c r="AA10" i="74"/>
  <c r="AQ10" i="74" s="1"/>
  <c r="I40" i="74"/>
  <c r="J17" i="1" s="1"/>
  <c r="K17" i="1" s="1"/>
  <c r="AL39" i="74"/>
  <c r="AP39" i="74"/>
  <c r="AF39" i="74"/>
  <c r="AA22" i="74"/>
  <c r="AQ22" i="74" s="1"/>
  <c r="AA27" i="74"/>
  <c r="AO27" i="74" s="1"/>
  <c r="AA28" i="74"/>
  <c r="AQ28" i="74" s="1"/>
  <c r="AA33" i="74"/>
  <c r="AO33" i="74" s="1"/>
  <c r="AG39" i="74"/>
  <c r="AA34" i="74"/>
  <c r="AQ34" i="74" s="1"/>
  <c r="AH39" i="74"/>
  <c r="AA11" i="74"/>
  <c r="AM11" i="74" s="1"/>
  <c r="AA17" i="74"/>
  <c r="AM17" i="74" s="1"/>
  <c r="AA23" i="74"/>
  <c r="AM23" i="74" s="1"/>
  <c r="AA29" i="74"/>
  <c r="AM29" i="74" s="1"/>
  <c r="AA35" i="74"/>
  <c r="AM35" i="74" s="1"/>
  <c r="AA13" i="74"/>
  <c r="AM13" i="74" s="1"/>
  <c r="J39" i="74"/>
  <c r="AA12" i="74"/>
  <c r="AO12" i="74" s="1"/>
  <c r="AA18" i="74"/>
  <c r="AO18" i="74" s="1"/>
  <c r="AA19" i="74"/>
  <c r="AQ19" i="74" s="1"/>
  <c r="AA24" i="74"/>
  <c r="AO24" i="74" s="1"/>
  <c r="AA25" i="74"/>
  <c r="AM25" i="74" s="1"/>
  <c r="AA30" i="74"/>
  <c r="AO30" i="74" s="1"/>
  <c r="AA31" i="74"/>
  <c r="AM31" i="74" s="1"/>
  <c r="AA36" i="74"/>
  <c r="AO36" i="74" s="1"/>
  <c r="AA14" i="74"/>
  <c r="AO14" i="74" s="1"/>
  <c r="AA20" i="74"/>
  <c r="AO20" i="74" s="1"/>
  <c r="AA26" i="74"/>
  <c r="AO26" i="74" s="1"/>
  <c r="AA32" i="74"/>
  <c r="AO32" i="74" s="1"/>
  <c r="AA37" i="74"/>
  <c r="AM37" i="74" s="1"/>
  <c r="N39" i="74"/>
  <c r="Z39" i="74"/>
  <c r="W40" i="73"/>
  <c r="X16" i="1" s="1"/>
  <c r="AA15" i="73"/>
  <c r="AQ15" i="73" s="1"/>
  <c r="H40" i="73"/>
  <c r="I16" i="1" s="1"/>
  <c r="I40" i="73"/>
  <c r="J16" i="1" s="1"/>
  <c r="M40" i="73"/>
  <c r="N16" i="1" s="1"/>
  <c r="O16" i="1" s="1"/>
  <c r="T40" i="73"/>
  <c r="U16" i="1" s="1"/>
  <c r="U40" i="73"/>
  <c r="V16" i="1" s="1"/>
  <c r="X40" i="73"/>
  <c r="Y16" i="1" s="1"/>
  <c r="AA12" i="73"/>
  <c r="AM12" i="73" s="1"/>
  <c r="AA28" i="73"/>
  <c r="AM28" i="73" s="1"/>
  <c r="AA29" i="73"/>
  <c r="AQ29" i="73" s="1"/>
  <c r="R39" i="73"/>
  <c r="R40" i="73" s="1"/>
  <c r="Z39" i="73"/>
  <c r="Y40" i="73"/>
  <c r="Z16" i="1" s="1"/>
  <c r="AA18" i="73"/>
  <c r="AM18" i="73" s="1"/>
  <c r="AH39" i="73"/>
  <c r="AH40" i="73" s="1"/>
  <c r="AA9" i="73"/>
  <c r="AM9" i="73" s="1"/>
  <c r="AA21" i="73"/>
  <c r="AM21" i="73" s="1"/>
  <c r="AL39" i="73"/>
  <c r="AN39" i="73"/>
  <c r="AA37" i="73"/>
  <c r="AM37" i="73" s="1"/>
  <c r="AF39" i="73"/>
  <c r="AA14" i="73"/>
  <c r="AO14" i="73" s="1"/>
  <c r="AA20" i="73"/>
  <c r="AO20" i="73" s="1"/>
  <c r="AA27" i="73"/>
  <c r="AQ27" i="73" s="1"/>
  <c r="AG39" i="73"/>
  <c r="AA34" i="73"/>
  <c r="AM34" i="73" s="1"/>
  <c r="F39" i="73"/>
  <c r="AA33" i="73"/>
  <c r="AQ33" i="73" s="1"/>
  <c r="AA13" i="73"/>
  <c r="AQ13" i="73" s="1"/>
  <c r="AA19" i="73"/>
  <c r="AO19" i="73" s="1"/>
  <c r="AA26" i="73"/>
  <c r="AM26" i="73" s="1"/>
  <c r="AA25" i="73"/>
  <c r="AM25" i="73" s="1"/>
  <c r="AA24" i="73"/>
  <c r="AO24" i="73" s="1"/>
  <c r="AA32" i="73"/>
  <c r="AQ32" i="73" s="1"/>
  <c r="J39" i="73"/>
  <c r="V39" i="73"/>
  <c r="AA11" i="73"/>
  <c r="AQ11" i="73" s="1"/>
  <c r="AA17" i="73"/>
  <c r="AM17" i="73" s="1"/>
  <c r="AA31" i="73"/>
  <c r="AM31" i="73" s="1"/>
  <c r="AA30" i="73"/>
  <c r="AM30" i="73" s="1"/>
  <c r="AA23" i="73"/>
  <c r="AM23" i="73" s="1"/>
  <c r="AP8" i="73"/>
  <c r="AA10" i="73"/>
  <c r="AQ10" i="73" s="1"/>
  <c r="AA16" i="73"/>
  <c r="AM16" i="73" s="1"/>
  <c r="AA22" i="73"/>
  <c r="AM22" i="73" s="1"/>
  <c r="N39" i="73"/>
  <c r="AA28" i="72"/>
  <c r="AO28" i="72" s="1"/>
  <c r="G40" i="72"/>
  <c r="H15" i="1" s="1"/>
  <c r="L40" i="72"/>
  <c r="M15" i="1" s="1"/>
  <c r="O15" i="1" s="1"/>
  <c r="S40" i="72"/>
  <c r="T15" i="1" s="1"/>
  <c r="U40" i="72"/>
  <c r="V15" i="1" s="1"/>
  <c r="W40" i="72"/>
  <c r="X15" i="1" s="1"/>
  <c r="AP39" i="72"/>
  <c r="AP40" i="72" s="1"/>
  <c r="AA18" i="72"/>
  <c r="AQ18" i="72" s="1"/>
  <c r="AA36" i="72"/>
  <c r="AM36" i="72" s="1"/>
  <c r="X40" i="72"/>
  <c r="Y15" i="1" s="1"/>
  <c r="AA22" i="72"/>
  <c r="AO22" i="72" s="1"/>
  <c r="AA12" i="72"/>
  <c r="AQ12" i="72" s="1"/>
  <c r="AA30" i="72"/>
  <c r="AM30" i="72" s="1"/>
  <c r="H40" i="72"/>
  <c r="I15" i="1" s="1"/>
  <c r="AA16" i="72"/>
  <c r="AM16" i="72" s="1"/>
  <c r="I40" i="72"/>
  <c r="J15" i="1" s="1"/>
  <c r="AA34" i="72"/>
  <c r="AO34" i="72" s="1"/>
  <c r="AN39" i="72"/>
  <c r="AL39" i="72"/>
  <c r="AA13" i="72"/>
  <c r="AM13" i="72" s="1"/>
  <c r="AA19" i="72"/>
  <c r="AM19" i="72" s="1"/>
  <c r="AA25" i="72"/>
  <c r="AM25" i="72" s="1"/>
  <c r="AA31" i="72"/>
  <c r="AM31" i="72" s="1"/>
  <c r="AA37" i="72"/>
  <c r="AO37" i="72" s="1"/>
  <c r="AA14" i="72"/>
  <c r="AO14" i="72" s="1"/>
  <c r="AA20" i="72"/>
  <c r="AM20" i="72" s="1"/>
  <c r="AA26" i="72"/>
  <c r="AM26" i="72" s="1"/>
  <c r="AA32" i="72"/>
  <c r="AM32" i="72" s="1"/>
  <c r="AA38" i="72"/>
  <c r="AO38" i="72" s="1"/>
  <c r="AG39" i="72"/>
  <c r="F39" i="72"/>
  <c r="R39" i="72"/>
  <c r="AH39" i="72"/>
  <c r="AF39" i="72"/>
  <c r="AA10" i="72"/>
  <c r="AQ10" i="72" s="1"/>
  <c r="AA15" i="72"/>
  <c r="AQ15" i="72" s="1"/>
  <c r="AA21" i="72"/>
  <c r="AQ21" i="72" s="1"/>
  <c r="AA27" i="72"/>
  <c r="AO27" i="72" s="1"/>
  <c r="AA33" i="72"/>
  <c r="AO33" i="72" s="1"/>
  <c r="J39" i="72"/>
  <c r="V39" i="72"/>
  <c r="AA11" i="72"/>
  <c r="AO11" i="72" s="1"/>
  <c r="AA17" i="72"/>
  <c r="AO17" i="72" s="1"/>
  <c r="AA23" i="72"/>
  <c r="AM23" i="72" s="1"/>
  <c r="AA29" i="72"/>
  <c r="AM29" i="72" s="1"/>
  <c r="AA35" i="72"/>
  <c r="AQ35" i="72" s="1"/>
  <c r="AA9" i="72"/>
  <c r="AM9" i="72" s="1"/>
  <c r="N39" i="72"/>
  <c r="Z39" i="72"/>
  <c r="I40" i="71"/>
  <c r="J14" i="1" s="1"/>
  <c r="K14" i="1" s="1"/>
  <c r="K40" i="71"/>
  <c r="L14" i="1" s="1"/>
  <c r="O14" i="1" s="1"/>
  <c r="T40" i="71"/>
  <c r="U14" i="1" s="1"/>
  <c r="W14" i="1" s="1"/>
  <c r="F39" i="71"/>
  <c r="F40" i="71" s="1"/>
  <c r="J39" i="71"/>
  <c r="J40" i="71" s="1"/>
  <c r="Q40" i="71"/>
  <c r="R14" i="1" s="1"/>
  <c r="S14" i="1" s="1"/>
  <c r="AA23" i="71"/>
  <c r="AO23" i="71" s="1"/>
  <c r="U40" i="71"/>
  <c r="V14" i="1" s="1"/>
  <c r="W40" i="71"/>
  <c r="X14" i="1" s="1"/>
  <c r="AA14" i="1" s="1"/>
  <c r="AG39" i="71"/>
  <c r="AG40" i="71" s="1"/>
  <c r="AA19" i="71"/>
  <c r="AO19" i="71" s="1"/>
  <c r="AA24" i="71"/>
  <c r="AO24" i="71" s="1"/>
  <c r="AN8" i="71"/>
  <c r="AA33" i="71"/>
  <c r="AQ33" i="71" s="1"/>
  <c r="E40" i="71"/>
  <c r="F14" i="1" s="1"/>
  <c r="G14" i="1" s="1"/>
  <c r="AA13" i="71"/>
  <c r="AM13" i="71" s="1"/>
  <c r="AL39" i="71"/>
  <c r="AP39" i="71"/>
  <c r="AA18" i="71"/>
  <c r="AQ18" i="71" s="1"/>
  <c r="AA35" i="71"/>
  <c r="AM35" i="71" s="1"/>
  <c r="AF39" i="71"/>
  <c r="AA12" i="71"/>
  <c r="AO12" i="71" s="1"/>
  <c r="AA20" i="71"/>
  <c r="AO20" i="71" s="1"/>
  <c r="AA25" i="71"/>
  <c r="AQ25" i="71" s="1"/>
  <c r="R39" i="71"/>
  <c r="AH39" i="71"/>
  <c r="AA26" i="71"/>
  <c r="AO26" i="71" s="1"/>
  <c r="AA31" i="71"/>
  <c r="AO31" i="71" s="1"/>
  <c r="AA11" i="71"/>
  <c r="AO11" i="71" s="1"/>
  <c r="AA30" i="71"/>
  <c r="AO30" i="71" s="1"/>
  <c r="AA37" i="71"/>
  <c r="AO37" i="71" s="1"/>
  <c r="AA10" i="71"/>
  <c r="AM10" i="71" s="1"/>
  <c r="AA16" i="71"/>
  <c r="AO16" i="71" s="1"/>
  <c r="AA32" i="71"/>
  <c r="AO32" i="71" s="1"/>
  <c r="AA36" i="71"/>
  <c r="AQ36" i="71" s="1"/>
  <c r="AA22" i="71"/>
  <c r="AO22" i="71" s="1"/>
  <c r="AA38" i="71"/>
  <c r="AM38" i="71" s="1"/>
  <c r="V39" i="71"/>
  <c r="AA9" i="71"/>
  <c r="AO9" i="71" s="1"/>
  <c r="AA15" i="71"/>
  <c r="AO15" i="71" s="1"/>
  <c r="AA17" i="71"/>
  <c r="AM17" i="71" s="1"/>
  <c r="AA21" i="71"/>
  <c r="AM21" i="71" s="1"/>
  <c r="AA28" i="71"/>
  <c r="AQ28" i="71" s="1"/>
  <c r="AA27" i="71"/>
  <c r="AO27" i="71" s="1"/>
  <c r="AA14" i="71"/>
  <c r="AO14" i="71" s="1"/>
  <c r="AA29" i="71"/>
  <c r="AO29" i="71" s="1"/>
  <c r="AA34" i="71"/>
  <c r="AM34" i="71" s="1"/>
  <c r="N39" i="71"/>
  <c r="Z39" i="71"/>
  <c r="H40" i="66"/>
  <c r="I13" i="1" s="1"/>
  <c r="I40" i="66"/>
  <c r="J13" i="1" s="1"/>
  <c r="T40" i="66"/>
  <c r="U13" i="1" s="1"/>
  <c r="U40" i="66"/>
  <c r="V13" i="1" s="1"/>
  <c r="AA17" i="66"/>
  <c r="AQ17" i="66" s="1"/>
  <c r="AA38" i="66"/>
  <c r="AO38" i="66" s="1"/>
  <c r="K40" i="66"/>
  <c r="L13" i="1" s="1"/>
  <c r="O13" i="1" s="1"/>
  <c r="R39" i="66"/>
  <c r="R40" i="66" s="1"/>
  <c r="AA28" i="66"/>
  <c r="AQ28" i="66" s="1"/>
  <c r="W40" i="66"/>
  <c r="X13" i="1" s="1"/>
  <c r="AA13" i="1" s="1"/>
  <c r="AN39" i="66"/>
  <c r="AN40" i="66" s="1"/>
  <c r="AP39" i="66"/>
  <c r="AP40" i="66" s="1"/>
  <c r="AA14" i="66"/>
  <c r="AQ14" i="66" s="1"/>
  <c r="AA34" i="66"/>
  <c r="AM34" i="66" s="1"/>
  <c r="AL39" i="66"/>
  <c r="AA19" i="66"/>
  <c r="AM19" i="66" s="1"/>
  <c r="AA24" i="66"/>
  <c r="AQ24" i="66" s="1"/>
  <c r="AA35" i="66"/>
  <c r="AQ35" i="66" s="1"/>
  <c r="AA13" i="66"/>
  <c r="AM13" i="66" s="1"/>
  <c r="AA18" i="66"/>
  <c r="AQ18" i="66" s="1"/>
  <c r="AA29" i="66"/>
  <c r="AQ29" i="66" s="1"/>
  <c r="AG39" i="66"/>
  <c r="AF39" i="66"/>
  <c r="AA33" i="66"/>
  <c r="AO33" i="66" s="1"/>
  <c r="F39" i="66"/>
  <c r="AH39" i="66"/>
  <c r="AA12" i="66"/>
  <c r="AO12" i="66" s="1"/>
  <c r="AA23" i="66"/>
  <c r="AQ23" i="66" s="1"/>
  <c r="AA22" i="66"/>
  <c r="AM22" i="66" s="1"/>
  <c r="AA27" i="66"/>
  <c r="AO27" i="66" s="1"/>
  <c r="AA37" i="66"/>
  <c r="AM37" i="66" s="1"/>
  <c r="AA16" i="66"/>
  <c r="AM16" i="66" s="1"/>
  <c r="AA21" i="66"/>
  <c r="AQ21" i="66" s="1"/>
  <c r="AA32" i="66"/>
  <c r="AM32" i="66" s="1"/>
  <c r="J39" i="66"/>
  <c r="V39" i="66"/>
  <c r="AA11" i="66"/>
  <c r="AQ11" i="66" s="1"/>
  <c r="AA31" i="66"/>
  <c r="AM31" i="66" s="1"/>
  <c r="AA36" i="66"/>
  <c r="AO36" i="66" s="1"/>
  <c r="AA10" i="66"/>
  <c r="AM10" i="66" s="1"/>
  <c r="AA15" i="66"/>
  <c r="AM15" i="66" s="1"/>
  <c r="AA26" i="66"/>
  <c r="AM26" i="66" s="1"/>
  <c r="AA25" i="66"/>
  <c r="AM25" i="66" s="1"/>
  <c r="AA30" i="66"/>
  <c r="AO30" i="66" s="1"/>
  <c r="AA9" i="66"/>
  <c r="AQ9" i="66" s="1"/>
  <c r="AA20" i="66"/>
  <c r="AQ20" i="66" s="1"/>
  <c r="N39" i="66"/>
  <c r="Z39" i="66"/>
  <c r="T40" i="67"/>
  <c r="U12" i="1" s="1"/>
  <c r="Z39" i="67"/>
  <c r="Z40" i="67" s="1"/>
  <c r="H40" i="67"/>
  <c r="I12" i="1" s="1"/>
  <c r="K40" i="67"/>
  <c r="L12" i="1" s="1"/>
  <c r="U40" i="67"/>
  <c r="V12" i="1" s="1"/>
  <c r="W40" i="67"/>
  <c r="X12" i="1" s="1"/>
  <c r="M40" i="67"/>
  <c r="N12" i="1" s="1"/>
  <c r="AN39" i="67"/>
  <c r="AN40" i="67" s="1"/>
  <c r="AP39" i="67"/>
  <c r="Y40" i="67"/>
  <c r="Z12" i="1" s="1"/>
  <c r="F39" i="67"/>
  <c r="F40" i="67" s="1"/>
  <c r="J39" i="67"/>
  <c r="J40" i="67" s="1"/>
  <c r="N39" i="67"/>
  <c r="N40" i="67" s="1"/>
  <c r="R39" i="67"/>
  <c r="R40" i="67" s="1"/>
  <c r="V39" i="67"/>
  <c r="V40" i="67" s="1"/>
  <c r="I40" i="67"/>
  <c r="J12" i="1" s="1"/>
  <c r="AL39" i="67"/>
  <c r="AG39" i="67"/>
  <c r="AH39" i="67"/>
  <c r="AA32" i="67"/>
  <c r="AM32" i="67" s="1"/>
  <c r="AA33" i="67"/>
  <c r="AO33" i="67" s="1"/>
  <c r="AF39" i="67"/>
  <c r="AA37" i="67"/>
  <c r="AQ37" i="67" s="1"/>
  <c r="AA9" i="67"/>
  <c r="AQ9" i="67" s="1"/>
  <c r="AA11" i="67"/>
  <c r="AO11" i="67" s="1"/>
  <c r="AA17" i="67"/>
  <c r="AM17" i="67" s="1"/>
  <c r="AA23" i="67"/>
  <c r="AM23" i="67" s="1"/>
  <c r="AA29" i="67"/>
  <c r="AM29" i="67" s="1"/>
  <c r="AA34" i="67"/>
  <c r="AM34" i="67" s="1"/>
  <c r="AA13" i="67"/>
  <c r="AM13" i="67" s="1"/>
  <c r="AA19" i="67"/>
  <c r="AM19" i="67" s="1"/>
  <c r="AA25" i="67"/>
  <c r="AM25" i="67" s="1"/>
  <c r="AA12" i="67"/>
  <c r="AO12" i="67" s="1"/>
  <c r="AA18" i="67"/>
  <c r="AM18" i="67" s="1"/>
  <c r="AA24" i="67"/>
  <c r="AM24" i="67" s="1"/>
  <c r="AA31" i="67"/>
  <c r="AO31" i="67" s="1"/>
  <c r="AA14" i="67"/>
  <c r="AM14" i="67" s="1"/>
  <c r="AA20" i="67"/>
  <c r="AM20" i="67" s="1"/>
  <c r="AA26" i="67"/>
  <c r="AM26" i="67" s="1"/>
  <c r="AA30" i="67"/>
  <c r="AO30" i="67" s="1"/>
  <c r="AA35" i="67"/>
  <c r="AO35" i="67" s="1"/>
  <c r="AA36" i="67"/>
  <c r="AM36" i="67" s="1"/>
  <c r="AA38" i="67"/>
  <c r="AM38" i="67" s="1"/>
  <c r="AA16" i="67"/>
  <c r="AO16" i="67" s="1"/>
  <c r="AA22" i="67"/>
  <c r="AM22" i="67" s="1"/>
  <c r="AA28" i="67"/>
  <c r="AM28" i="67" s="1"/>
  <c r="AA10" i="67"/>
  <c r="AQ10" i="67" s="1"/>
  <c r="AA15" i="67"/>
  <c r="AO15" i="67" s="1"/>
  <c r="AA21" i="67"/>
  <c r="AQ21" i="67" s="1"/>
  <c r="AA27" i="67"/>
  <c r="AQ27" i="67" s="1"/>
  <c r="AA10" i="68"/>
  <c r="AQ10" i="68" s="1"/>
  <c r="E40" i="68"/>
  <c r="F11" i="1" s="1"/>
  <c r="G11" i="1" s="1"/>
  <c r="H40" i="68"/>
  <c r="I11" i="1" s="1"/>
  <c r="K40" i="68"/>
  <c r="L11" i="1" s="1"/>
  <c r="O11" i="1" s="1"/>
  <c r="AA16" i="68"/>
  <c r="AM16" i="68" s="1"/>
  <c r="J39" i="68"/>
  <c r="J40" i="68" s="1"/>
  <c r="AA22" i="68"/>
  <c r="AM22" i="68" s="1"/>
  <c r="AA30" i="68"/>
  <c r="AQ30" i="68" s="1"/>
  <c r="Q40" i="68"/>
  <c r="R11" i="1" s="1"/>
  <c r="S11" i="1" s="1"/>
  <c r="T40" i="68"/>
  <c r="U11" i="1" s="1"/>
  <c r="AA38" i="68"/>
  <c r="AM38" i="68" s="1"/>
  <c r="W40" i="68"/>
  <c r="X11" i="1" s="1"/>
  <c r="AA11" i="1" s="1"/>
  <c r="AA19" i="68"/>
  <c r="AM19" i="68" s="1"/>
  <c r="AA29" i="68"/>
  <c r="AQ29" i="68" s="1"/>
  <c r="F39" i="68"/>
  <c r="F40" i="68" s="1"/>
  <c r="AA13" i="68"/>
  <c r="AM13" i="68" s="1"/>
  <c r="AA31" i="68"/>
  <c r="AO31" i="68" s="1"/>
  <c r="AN39" i="68"/>
  <c r="AP39" i="68"/>
  <c r="AA12" i="68"/>
  <c r="AM12" i="68" s="1"/>
  <c r="AA18" i="68"/>
  <c r="AQ18" i="68" s="1"/>
  <c r="AF39" i="68"/>
  <c r="I40" i="68"/>
  <c r="J11" i="1" s="1"/>
  <c r="U40" i="68"/>
  <c r="V11" i="1" s="1"/>
  <c r="AA14" i="68"/>
  <c r="AQ14" i="68" s="1"/>
  <c r="AA20" i="68"/>
  <c r="AQ20" i="68" s="1"/>
  <c r="AA24" i="68"/>
  <c r="AQ24" i="68" s="1"/>
  <c r="AA25" i="68"/>
  <c r="AQ25" i="68" s="1"/>
  <c r="AA33" i="68"/>
  <c r="AQ33" i="68" s="1"/>
  <c r="AA34" i="68"/>
  <c r="AQ34" i="68" s="1"/>
  <c r="AG39" i="68"/>
  <c r="AL10" i="68"/>
  <c r="R39" i="68"/>
  <c r="AH39" i="68"/>
  <c r="AA26" i="68"/>
  <c r="AQ26" i="68" s="1"/>
  <c r="AA35" i="68"/>
  <c r="AO35" i="68" s="1"/>
  <c r="AA9" i="68"/>
  <c r="AQ9" i="68" s="1"/>
  <c r="AA15" i="68"/>
  <c r="AQ15" i="68" s="1"/>
  <c r="AA21" i="68"/>
  <c r="AM21" i="68" s="1"/>
  <c r="V39" i="68"/>
  <c r="AA11" i="68"/>
  <c r="AM11" i="68" s="1"/>
  <c r="AA17" i="68"/>
  <c r="AM17" i="68" s="1"/>
  <c r="AA23" i="68"/>
  <c r="AO23" i="68" s="1"/>
  <c r="AA32" i="68"/>
  <c r="AQ32" i="68" s="1"/>
  <c r="AA27" i="68"/>
  <c r="AM27" i="68" s="1"/>
  <c r="AA28" i="68"/>
  <c r="AO28" i="68" s="1"/>
  <c r="AA36" i="68"/>
  <c r="AM36" i="68" s="1"/>
  <c r="AA37" i="68"/>
  <c r="AQ37" i="68" s="1"/>
  <c r="N39" i="68"/>
  <c r="Z39" i="68"/>
  <c r="AA35" i="73"/>
  <c r="AQ35" i="73" s="1"/>
  <c r="AA38" i="73"/>
  <c r="AO38" i="73" s="1"/>
  <c r="AA36" i="73"/>
  <c r="AO36" i="73" s="1"/>
  <c r="AA13" i="70"/>
  <c r="H40" i="70"/>
  <c r="I9" i="1" s="1"/>
  <c r="AA27" i="70"/>
  <c r="AQ27" i="70" s="1"/>
  <c r="T40" i="70"/>
  <c r="U9" i="1" s="1"/>
  <c r="U40" i="70"/>
  <c r="V9" i="1" s="1"/>
  <c r="AL39" i="70"/>
  <c r="AA18" i="70"/>
  <c r="AM18" i="70" s="1"/>
  <c r="AA21" i="70"/>
  <c r="AQ21" i="70" s="1"/>
  <c r="AA24" i="70"/>
  <c r="AO24" i="70" s="1"/>
  <c r="H40" i="69"/>
  <c r="I10" i="1" s="1"/>
  <c r="T40" i="69"/>
  <c r="U10" i="1" s="1"/>
  <c r="U40" i="69"/>
  <c r="V10" i="1" s="1"/>
  <c r="AA13" i="69"/>
  <c r="AM13" i="69" s="1"/>
  <c r="AA37" i="69"/>
  <c r="AF39" i="69"/>
  <c r="AF40" i="69" s="1"/>
  <c r="AA25" i="69"/>
  <c r="AM25" i="69" s="1"/>
  <c r="AN39" i="69"/>
  <c r="AA12" i="69"/>
  <c r="AO12" i="69" s="1"/>
  <c r="AA30" i="69"/>
  <c r="AO30" i="69" s="1"/>
  <c r="AA36" i="69"/>
  <c r="AO36" i="69" s="1"/>
  <c r="AG39" i="69"/>
  <c r="AL10" i="69"/>
  <c r="AL41" i="69" s="1"/>
  <c r="AA38" i="69"/>
  <c r="AO38" i="69" s="1"/>
  <c r="AA16" i="69"/>
  <c r="AO16" i="69" s="1"/>
  <c r="AA22" i="69"/>
  <c r="AM22" i="69" s="1"/>
  <c r="AA28" i="69"/>
  <c r="AM28" i="69" s="1"/>
  <c r="AA34" i="69"/>
  <c r="AO34" i="69" s="1"/>
  <c r="J39" i="69"/>
  <c r="V39" i="69"/>
  <c r="AA15" i="69"/>
  <c r="AO15" i="69" s="1"/>
  <c r="AA17" i="69"/>
  <c r="AQ17" i="69" s="1"/>
  <c r="AA23" i="69"/>
  <c r="AM23" i="69" s="1"/>
  <c r="AA29" i="69"/>
  <c r="AO29" i="69" s="1"/>
  <c r="AA35" i="69"/>
  <c r="N39" i="69"/>
  <c r="AA10" i="70"/>
  <c r="AM10" i="70" s="1"/>
  <c r="AA9" i="70"/>
  <c r="AA29" i="70"/>
  <c r="AA35" i="70"/>
  <c r="AM35" i="70" s="1"/>
  <c r="AA11" i="70"/>
  <c r="AM11" i="70" s="1"/>
  <c r="AA25" i="70"/>
  <c r="AM25" i="70" s="1"/>
  <c r="AA31" i="70"/>
  <c r="AM31" i="70" s="1"/>
  <c r="AA37" i="70"/>
  <c r="AQ37" i="70" s="1"/>
  <c r="AA36" i="70"/>
  <c r="AO36" i="70" s="1"/>
  <c r="AA20" i="70"/>
  <c r="AO20" i="70" s="1"/>
  <c r="AA26" i="70"/>
  <c r="AM26" i="70" s="1"/>
  <c r="AA38" i="70"/>
  <c r="AQ38" i="70" s="1"/>
  <c r="AA28" i="70"/>
  <c r="AQ28" i="70" s="1"/>
  <c r="AA34" i="70"/>
  <c r="AO34" i="70" s="1"/>
  <c r="AA12" i="70"/>
  <c r="AO12" i="70" s="1"/>
  <c r="AA17" i="70"/>
  <c r="AM17" i="70" s="1"/>
  <c r="AA14" i="69"/>
  <c r="AM14" i="69" s="1"/>
  <c r="AA8" i="76"/>
  <c r="AN9" i="75"/>
  <c r="AA8" i="75"/>
  <c r="AO22" i="74"/>
  <c r="AA8" i="74"/>
  <c r="AA8" i="73"/>
  <c r="AA8" i="72"/>
  <c r="AA8" i="71"/>
  <c r="AN39" i="70"/>
  <c r="AA8" i="69"/>
  <c r="AA8" i="68"/>
  <c r="AA8" i="67"/>
  <c r="AA8" i="66"/>
  <c r="AF39" i="2"/>
  <c r="AP9" i="2"/>
  <c r="AP10" i="2"/>
  <c r="AP14" i="2"/>
  <c r="AP16" i="2"/>
  <c r="AP17" i="2"/>
  <c r="AP18" i="2"/>
  <c r="AP21" i="2"/>
  <c r="AP25" i="2"/>
  <c r="AP26" i="2"/>
  <c r="AP27" i="2"/>
  <c r="AP28" i="2"/>
  <c r="AP34" i="2"/>
  <c r="AP35" i="2"/>
  <c r="AP36" i="2"/>
  <c r="AP37" i="2"/>
  <c r="AL9" i="2"/>
  <c r="AL10" i="2"/>
  <c r="AL11" i="2"/>
  <c r="AL12" i="2"/>
  <c r="AL13" i="2"/>
  <c r="AL14" i="2"/>
  <c r="AL15" i="2"/>
  <c r="AL16" i="2"/>
  <c r="AL17" i="2"/>
  <c r="AL18" i="2"/>
  <c r="AL19" i="2"/>
  <c r="AL20" i="2"/>
  <c r="AL21" i="2"/>
  <c r="AL22" i="2"/>
  <c r="AL23" i="2"/>
  <c r="AL24" i="2"/>
  <c r="AL25" i="2"/>
  <c r="AL26" i="2"/>
  <c r="AL27" i="2"/>
  <c r="AL28" i="2"/>
  <c r="AL29" i="2"/>
  <c r="AL30" i="2"/>
  <c r="AL31" i="2"/>
  <c r="AL32" i="2"/>
  <c r="AL33" i="2"/>
  <c r="AL34" i="2"/>
  <c r="AL35" i="2"/>
  <c r="AL36" i="2"/>
  <c r="AL37" i="2"/>
  <c r="AL38" i="2"/>
  <c r="AL8" i="2"/>
  <c r="AM5" i="2"/>
  <c r="AK5" i="2"/>
  <c r="C39" i="2"/>
  <c r="F38" i="2"/>
  <c r="F28" i="2"/>
  <c r="AP8" i="2"/>
  <c r="AG6" i="2"/>
  <c r="AE6" i="2"/>
  <c r="R8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S39" i="2"/>
  <c r="T39" i="2"/>
  <c r="T40" i="2" s="1"/>
  <c r="U8" i="1" s="1"/>
  <c r="U39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3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8" i="2"/>
  <c r="N29" i="2"/>
  <c r="N30" i="2"/>
  <c r="N31" i="2"/>
  <c r="N32" i="2"/>
  <c r="N33" i="2"/>
  <c r="N34" i="2"/>
  <c r="N35" i="2"/>
  <c r="N36" i="2"/>
  <c r="N37" i="2"/>
  <c r="N38" i="2"/>
  <c r="N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9" i="2"/>
  <c r="F30" i="2"/>
  <c r="F31" i="2"/>
  <c r="F32" i="2"/>
  <c r="F33" i="2"/>
  <c r="F34" i="2"/>
  <c r="F35" i="2"/>
  <c r="F36" i="2"/>
  <c r="F37" i="2"/>
  <c r="F8" i="2"/>
  <c r="Q39" i="2"/>
  <c r="E39" i="2"/>
  <c r="E40" i="2" s="1"/>
  <c r="F8" i="1" s="1"/>
  <c r="Y39" i="2"/>
  <c r="Y40" i="2" s="1"/>
  <c r="Z8" i="1" s="1"/>
  <c r="X39" i="2"/>
  <c r="W39" i="2"/>
  <c r="W40" i="2" s="1"/>
  <c r="X8" i="1" s="1"/>
  <c r="P39" i="2"/>
  <c r="O39" i="2"/>
  <c r="M39" i="2"/>
  <c r="L39" i="2"/>
  <c r="K39" i="2"/>
  <c r="I39" i="2"/>
  <c r="I40" i="2" s="1"/>
  <c r="J8" i="1" s="1"/>
  <c r="H39" i="2"/>
  <c r="G39" i="2"/>
  <c r="G40" i="2" s="1"/>
  <c r="H8" i="1" s="1"/>
  <c r="D39" i="2"/>
  <c r="D40" i="2" s="1"/>
  <c r="E8" i="1" s="1"/>
  <c r="Z8" i="2"/>
  <c r="O12" i="1" l="1"/>
  <c r="AQ24" i="72"/>
  <c r="AQ23" i="76"/>
  <c r="AQ24" i="76"/>
  <c r="AA10" i="1"/>
  <c r="AO37" i="75"/>
  <c r="AQ35" i="74"/>
  <c r="AM22" i="74"/>
  <c r="AM22" i="72"/>
  <c r="W19" i="1"/>
  <c r="AO24" i="76"/>
  <c r="AO23" i="76"/>
  <c r="AO15" i="76"/>
  <c r="AO24" i="72"/>
  <c r="AQ28" i="72"/>
  <c r="AM28" i="72"/>
  <c r="AA18" i="1"/>
  <c r="W18" i="1"/>
  <c r="AM33" i="75"/>
  <c r="AM30" i="75"/>
  <c r="AO33" i="75"/>
  <c r="AQ30" i="75"/>
  <c r="AO35" i="74"/>
  <c r="AQ38" i="74"/>
  <c r="AA16" i="1"/>
  <c r="AQ34" i="73"/>
  <c r="AM27" i="73"/>
  <c r="AQ20" i="73"/>
  <c r="AO34" i="73"/>
  <c r="AO21" i="73"/>
  <c r="AM20" i="73"/>
  <c r="AQ30" i="73"/>
  <c r="AM15" i="73"/>
  <c r="AO30" i="73"/>
  <c r="AQ35" i="67"/>
  <c r="AM29" i="68"/>
  <c r="AM24" i="71"/>
  <c r="AM29" i="71"/>
  <c r="AQ24" i="71"/>
  <c r="AQ13" i="70"/>
  <c r="AO14" i="66"/>
  <c r="AM14" i="66"/>
  <c r="AM29" i="66"/>
  <c r="AO29" i="66"/>
  <c r="AO34" i="66"/>
  <c r="AQ34" i="66"/>
  <c r="AO28" i="66"/>
  <c r="Z41" i="69"/>
  <c r="AO22" i="68"/>
  <c r="AQ28" i="67"/>
  <c r="AQ33" i="67"/>
  <c r="AM34" i="68"/>
  <c r="AO30" i="68"/>
  <c r="AM32" i="68"/>
  <c r="AO29" i="68"/>
  <c r="AO20" i="68"/>
  <c r="R41" i="69"/>
  <c r="R39" i="69"/>
  <c r="R40" i="69" s="1"/>
  <c r="AA33" i="69"/>
  <c r="AO33" i="69" s="1"/>
  <c r="AP41" i="69"/>
  <c r="Z39" i="69"/>
  <c r="AA10" i="69"/>
  <c r="AO10" i="69" s="1"/>
  <c r="F39" i="69"/>
  <c r="F40" i="69" s="1"/>
  <c r="J39" i="70"/>
  <c r="J40" i="70" s="1"/>
  <c r="AA8" i="70"/>
  <c r="AQ8" i="70" s="1"/>
  <c r="AH41" i="69"/>
  <c r="AP39" i="69"/>
  <c r="AP40" i="69" s="1"/>
  <c r="AQ35" i="69"/>
  <c r="AH39" i="69"/>
  <c r="AH40" i="69" s="1"/>
  <c r="AQ37" i="69"/>
  <c r="F41" i="69"/>
  <c r="AA9" i="69"/>
  <c r="AO9" i="69" s="1"/>
  <c r="AP39" i="70"/>
  <c r="AP40" i="70" s="1"/>
  <c r="AP41" i="70"/>
  <c r="AH41" i="70"/>
  <c r="F41" i="70"/>
  <c r="AA22" i="70"/>
  <c r="AQ22" i="70" s="1"/>
  <c r="AQ35" i="70"/>
  <c r="AQ29" i="70"/>
  <c r="AH39" i="70"/>
  <c r="AH40" i="70" s="1"/>
  <c r="F39" i="70"/>
  <c r="F40" i="70" s="1"/>
  <c r="AQ24" i="70"/>
  <c r="AM24" i="70"/>
  <c r="AH39" i="2"/>
  <c r="AH40" i="2" s="1"/>
  <c r="AH41" i="2"/>
  <c r="AP15" i="2"/>
  <c r="AP41" i="2" s="1"/>
  <c r="V41" i="2"/>
  <c r="AO13" i="70"/>
  <c r="AO29" i="70"/>
  <c r="AM21" i="70"/>
  <c r="AO21" i="70"/>
  <c r="AQ33" i="70"/>
  <c r="AO28" i="70"/>
  <c r="AO33" i="70"/>
  <c r="AO27" i="70"/>
  <c r="AM27" i="70"/>
  <c r="AO35" i="69"/>
  <c r="AQ23" i="69"/>
  <c r="AO23" i="69"/>
  <c r="AM35" i="69"/>
  <c r="AM29" i="69"/>
  <c r="AQ32" i="69"/>
  <c r="AQ15" i="69"/>
  <c r="AM38" i="69"/>
  <c r="AQ29" i="69"/>
  <c r="AO13" i="68"/>
  <c r="AM23" i="68"/>
  <c r="AQ22" i="68"/>
  <c r="AO33" i="68"/>
  <c r="AM35" i="68"/>
  <c r="AQ23" i="68"/>
  <c r="AO24" i="68"/>
  <c r="AM30" i="68"/>
  <c r="AQ35" i="68"/>
  <c r="AQ19" i="68"/>
  <c r="AO25" i="68"/>
  <c r="AM10" i="68"/>
  <c r="AM33" i="67"/>
  <c r="AO37" i="67"/>
  <c r="AM35" i="67"/>
  <c r="AM37" i="67"/>
  <c r="AQ32" i="67"/>
  <c r="W13" i="1"/>
  <c r="AM23" i="66"/>
  <c r="AM24" i="66"/>
  <c r="K13" i="1"/>
  <c r="AO23" i="66"/>
  <c r="AM38" i="66"/>
  <c r="AM33" i="66"/>
  <c r="AO35" i="66"/>
  <c r="AO24" i="66"/>
  <c r="AM35" i="66"/>
  <c r="AO18" i="71"/>
  <c r="AM18" i="71"/>
  <c r="AO35" i="71"/>
  <c r="AQ37" i="71"/>
  <c r="AO38" i="71"/>
  <c r="AQ35" i="71"/>
  <c r="AO28" i="71"/>
  <c r="AM19" i="71"/>
  <c r="AQ19" i="71"/>
  <c r="AQ34" i="71"/>
  <c r="AQ29" i="71"/>
  <c r="AQ23" i="72"/>
  <c r="AM21" i="72"/>
  <c r="AQ25" i="72"/>
  <c r="AO25" i="72"/>
  <c r="AO29" i="72"/>
  <c r="AO31" i="72"/>
  <c r="AQ30" i="72"/>
  <c r="AO35" i="72"/>
  <c r="AQ22" i="72"/>
  <c r="AO23" i="72"/>
  <c r="AM35" i="72"/>
  <c r="AQ16" i="72"/>
  <c r="AO30" i="72"/>
  <c r="AQ34" i="72"/>
  <c r="AM34" i="72"/>
  <c r="AO15" i="73"/>
  <c r="AQ21" i="73"/>
  <c r="AM29" i="73"/>
  <c r="AM14" i="73"/>
  <c r="AQ14" i="73"/>
  <c r="K16" i="1"/>
  <c r="AQ28" i="73"/>
  <c r="AM38" i="73"/>
  <c r="AO28" i="73"/>
  <c r="W17" i="1"/>
  <c r="AQ12" i="74"/>
  <c r="AQ21" i="74"/>
  <c r="AM21" i="74"/>
  <c r="AQ32" i="75"/>
  <c r="AM27" i="75"/>
  <c r="AO36" i="75"/>
  <c r="AQ20" i="76"/>
  <c r="AM15" i="76"/>
  <c r="AO20" i="76"/>
  <c r="AQ32" i="76"/>
  <c r="AO32" i="76"/>
  <c r="K19" i="1"/>
  <c r="AN39" i="76"/>
  <c r="AN41" i="76"/>
  <c r="AM9" i="76"/>
  <c r="AQ9" i="75"/>
  <c r="AO9" i="75"/>
  <c r="K18" i="1"/>
  <c r="AM15" i="75"/>
  <c r="AO19" i="75"/>
  <c r="AA41" i="75"/>
  <c r="AQ19" i="75"/>
  <c r="AM18" i="75"/>
  <c r="AN41" i="75"/>
  <c r="AQ17" i="74"/>
  <c r="AQ11" i="74"/>
  <c r="AQ9" i="74"/>
  <c r="AM9" i="74"/>
  <c r="AA41" i="74"/>
  <c r="AM10" i="74"/>
  <c r="AO10" i="74"/>
  <c r="AO17" i="74"/>
  <c r="AO9" i="73"/>
  <c r="AQ9" i="73"/>
  <c r="W16" i="1"/>
  <c r="AM19" i="73"/>
  <c r="AA41" i="73"/>
  <c r="AP39" i="73"/>
  <c r="AP40" i="73" s="1"/>
  <c r="AP41" i="73"/>
  <c r="AO13" i="73"/>
  <c r="AA15" i="1"/>
  <c r="AO16" i="72"/>
  <c r="W15" i="1"/>
  <c r="K15" i="1"/>
  <c r="AM15" i="72"/>
  <c r="AQ13" i="72"/>
  <c r="AO10" i="72"/>
  <c r="AA41" i="72"/>
  <c r="AM10" i="72"/>
  <c r="AQ19" i="72"/>
  <c r="AO19" i="72"/>
  <c r="AM12" i="71"/>
  <c r="AQ12" i="71"/>
  <c r="AQ14" i="71"/>
  <c r="AQ13" i="71"/>
  <c r="AA41" i="71"/>
  <c r="AO13" i="71"/>
  <c r="AN39" i="71"/>
  <c r="AN40" i="71" s="1"/>
  <c r="AN41" i="71"/>
  <c r="AQ16" i="71"/>
  <c r="AM9" i="66"/>
  <c r="AO19" i="66"/>
  <c r="AQ8" i="66"/>
  <c r="AA41" i="66"/>
  <c r="AQ19" i="66"/>
  <c r="AM17" i="66"/>
  <c r="W11" i="1"/>
  <c r="K11" i="1"/>
  <c r="AO14" i="68"/>
  <c r="AQ17" i="68"/>
  <c r="AO17" i="68"/>
  <c r="AO11" i="68"/>
  <c r="AO19" i="68"/>
  <c r="W10" i="1"/>
  <c r="AQ19" i="69"/>
  <c r="K10" i="1"/>
  <c r="AO19" i="69"/>
  <c r="AO17" i="69"/>
  <c r="AM13" i="70"/>
  <c r="Z41" i="2"/>
  <c r="N41" i="2"/>
  <c r="AM9" i="67"/>
  <c r="AA41" i="67"/>
  <c r="AA12" i="1"/>
  <c r="W12" i="1"/>
  <c r="K12" i="1"/>
  <c r="AO10" i="68"/>
  <c r="AO9" i="68"/>
  <c r="AO8" i="68"/>
  <c r="AA41" i="68"/>
  <c r="AL41" i="68"/>
  <c r="AO8" i="69"/>
  <c r="W9" i="1"/>
  <c r="R41" i="2"/>
  <c r="AL41" i="2"/>
  <c r="J41" i="2"/>
  <c r="AM35" i="76"/>
  <c r="AO30" i="76"/>
  <c r="AO21" i="76"/>
  <c r="AO28" i="76"/>
  <c r="AM14" i="76"/>
  <c r="AO12" i="76"/>
  <c r="AO14" i="76"/>
  <c r="AM30" i="76"/>
  <c r="AA41" i="76"/>
  <c r="AM21" i="76"/>
  <c r="AM12" i="76"/>
  <c r="AQ28" i="76"/>
  <c r="AQ19" i="76"/>
  <c r="AM17" i="76"/>
  <c r="AA19" i="1"/>
  <c r="F39" i="2"/>
  <c r="F40" i="2" s="1"/>
  <c r="F41" i="2"/>
  <c r="AO15" i="70"/>
  <c r="K9" i="1"/>
  <c r="AQ11" i="72"/>
  <c r="AM12" i="66"/>
  <c r="AO16" i="68"/>
  <c r="AQ16" i="68"/>
  <c r="AG40" i="76"/>
  <c r="AO23" i="74"/>
  <c r="AO33" i="73"/>
  <c r="AO31" i="69"/>
  <c r="AQ20" i="69"/>
  <c r="AM31" i="69"/>
  <c r="AM27" i="69"/>
  <c r="AQ27" i="69"/>
  <c r="AM20" i="68"/>
  <c r="AQ31" i="72"/>
  <c r="Z40" i="70"/>
  <c r="AH40" i="76"/>
  <c r="AM38" i="76"/>
  <c r="AO38" i="76"/>
  <c r="AM29" i="76"/>
  <c r="AO29" i="76"/>
  <c r="AQ22" i="76"/>
  <c r="AO22" i="76"/>
  <c r="AO18" i="76"/>
  <c r="AO10" i="76"/>
  <c r="AQ36" i="76"/>
  <c r="AQ11" i="76"/>
  <c r="AM33" i="76"/>
  <c r="AQ9" i="76"/>
  <c r="AO34" i="76"/>
  <c r="AQ33" i="76"/>
  <c r="AQ35" i="76"/>
  <c r="AQ37" i="76"/>
  <c r="AO19" i="76"/>
  <c r="AM27" i="76"/>
  <c r="AQ34" i="76"/>
  <c r="AM11" i="76"/>
  <c r="AM18" i="76"/>
  <c r="AO36" i="76"/>
  <c r="AF40" i="76"/>
  <c r="AQ13" i="76"/>
  <c r="AP40" i="76"/>
  <c r="AO31" i="76"/>
  <c r="AQ26" i="76"/>
  <c r="AO25" i="76"/>
  <c r="AM26" i="76"/>
  <c r="AQ25" i="76"/>
  <c r="AO16" i="76"/>
  <c r="Z40" i="76"/>
  <c r="AO37" i="76"/>
  <c r="AO13" i="76"/>
  <c r="AN40" i="76"/>
  <c r="N40" i="76"/>
  <c r="AQ27" i="76"/>
  <c r="V40" i="76"/>
  <c r="AA39" i="76"/>
  <c r="R40" i="76"/>
  <c r="AQ17" i="76"/>
  <c r="AL40" i="76"/>
  <c r="F40" i="76"/>
  <c r="AQ16" i="76"/>
  <c r="AQ10" i="76"/>
  <c r="AQ31" i="76"/>
  <c r="AQ18" i="75"/>
  <c r="AO24" i="75"/>
  <c r="AO12" i="75"/>
  <c r="AQ14" i="75"/>
  <c r="AQ17" i="75"/>
  <c r="AO13" i="75"/>
  <c r="AQ13" i="75"/>
  <c r="AO31" i="75"/>
  <c r="AQ20" i="75"/>
  <c r="AM11" i="75"/>
  <c r="AO28" i="75"/>
  <c r="AO21" i="75"/>
  <c r="AM12" i="75"/>
  <c r="AM36" i="75"/>
  <c r="AQ31" i="75"/>
  <c r="AQ38" i="75"/>
  <c r="AM20" i="75"/>
  <c r="AQ37" i="75"/>
  <c r="AO16" i="75"/>
  <c r="AM38" i="75"/>
  <c r="AQ16" i="75"/>
  <c r="AM17" i="75"/>
  <c r="AQ21" i="75"/>
  <c r="AQ11" i="75"/>
  <c r="AG40" i="75"/>
  <c r="AQ23" i="75"/>
  <c r="AA39" i="75"/>
  <c r="AM29" i="75"/>
  <c r="AQ25" i="75"/>
  <c r="AM8" i="75"/>
  <c r="AM26" i="75"/>
  <c r="AQ10" i="75"/>
  <c r="AQ34" i="75"/>
  <c r="AQ27" i="75"/>
  <c r="AQ22" i="75"/>
  <c r="AO34" i="75"/>
  <c r="AM35" i="75"/>
  <c r="AQ15" i="75"/>
  <c r="AO10" i="75"/>
  <c r="AQ28" i="75"/>
  <c r="AQ24" i="75"/>
  <c r="AM14" i="75"/>
  <c r="AN39" i="75"/>
  <c r="AQ35" i="75"/>
  <c r="AM23" i="75"/>
  <c r="V40" i="75"/>
  <c r="AQ29" i="75"/>
  <c r="AQ26" i="75"/>
  <c r="Z40" i="75"/>
  <c r="J40" i="75"/>
  <c r="AF40" i="75"/>
  <c r="AP40" i="75"/>
  <c r="F40" i="75"/>
  <c r="AO25" i="75"/>
  <c r="N40" i="75"/>
  <c r="AM32" i="75"/>
  <c r="AH40" i="75"/>
  <c r="AO22" i="75"/>
  <c r="AO28" i="74"/>
  <c r="AM28" i="74"/>
  <c r="AO16" i="74"/>
  <c r="AO25" i="74"/>
  <c r="AM16" i="74"/>
  <c r="AM24" i="74"/>
  <c r="AM33" i="74"/>
  <c r="R40" i="74"/>
  <c r="AQ24" i="74"/>
  <c r="AM15" i="74"/>
  <c r="AO15" i="74"/>
  <c r="AQ27" i="74"/>
  <c r="AQ29" i="74"/>
  <c r="AQ31" i="74"/>
  <c r="AQ23" i="74"/>
  <c r="AQ37" i="74"/>
  <c r="AM38" i="74"/>
  <c r="AM27" i="74"/>
  <c r="AO29" i="74"/>
  <c r="AM18" i="74"/>
  <c r="AQ13" i="74"/>
  <c r="AO13" i="74"/>
  <c r="AO11" i="74"/>
  <c r="AN40" i="74"/>
  <c r="AO37" i="74"/>
  <c r="AO31" i="74"/>
  <c r="AQ33" i="74"/>
  <c r="AM36" i="74"/>
  <c r="AM34" i="74"/>
  <c r="AQ25" i="74"/>
  <c r="AQ32" i="74"/>
  <c r="AM19" i="74"/>
  <c r="AM32" i="74"/>
  <c r="AO34" i="74"/>
  <c r="AO19" i="74"/>
  <c r="AQ20" i="74"/>
  <c r="AQ26" i="74"/>
  <c r="AM26" i="74"/>
  <c r="AG40" i="74"/>
  <c r="AQ14" i="74"/>
  <c r="AQ30" i="74"/>
  <c r="AM20" i="74"/>
  <c r="AQ18" i="74"/>
  <c r="AM14" i="74"/>
  <c r="Z40" i="74"/>
  <c r="N40" i="74"/>
  <c r="AM12" i="74"/>
  <c r="J40" i="74"/>
  <c r="AM30" i="74"/>
  <c r="AP40" i="74"/>
  <c r="AH40" i="74"/>
  <c r="AQ36" i="74"/>
  <c r="AA39" i="74"/>
  <c r="AF40" i="74"/>
  <c r="AL40" i="74"/>
  <c r="AQ37" i="73"/>
  <c r="AO29" i="73"/>
  <c r="AO37" i="73"/>
  <c r="AO26" i="73"/>
  <c r="AQ12" i="73"/>
  <c r="Z40" i="73"/>
  <c r="AM11" i="73"/>
  <c r="AO12" i="73"/>
  <c r="AM24" i="73"/>
  <c r="AO11" i="73"/>
  <c r="AO27" i="73"/>
  <c r="AM35" i="73"/>
  <c r="AM10" i="73"/>
  <c r="AQ18" i="73"/>
  <c r="AQ17" i="73"/>
  <c r="AO35" i="73"/>
  <c r="AQ31" i="73"/>
  <c r="AO22" i="73"/>
  <c r="AO18" i="73"/>
  <c r="AO10" i="73"/>
  <c r="AO17" i="73"/>
  <c r="AQ23" i="73"/>
  <c r="AF40" i="73"/>
  <c r="V40" i="73"/>
  <c r="AN40" i="73"/>
  <c r="AQ38" i="73"/>
  <c r="N40" i="73"/>
  <c r="J40" i="73"/>
  <c r="AO16" i="73"/>
  <c r="AG40" i="73"/>
  <c r="AM33" i="73"/>
  <c r="AL40" i="73"/>
  <c r="AO32" i="73"/>
  <c r="F40" i="73"/>
  <c r="AQ25" i="73"/>
  <c r="AA39" i="73"/>
  <c r="AQ22" i="73"/>
  <c r="AO25" i="73"/>
  <c r="AQ16" i="73"/>
  <c r="AQ19" i="73"/>
  <c r="AQ26" i="73"/>
  <c r="AM13" i="73"/>
  <c r="AO31" i="73"/>
  <c r="AO23" i="73"/>
  <c r="AM32" i="73"/>
  <c r="AQ24" i="73"/>
  <c r="AO26" i="72"/>
  <c r="AQ38" i="72"/>
  <c r="AQ32" i="72"/>
  <c r="AM33" i="72"/>
  <c r="AM14" i="72"/>
  <c r="AO18" i="72"/>
  <c r="AQ26" i="72"/>
  <c r="AQ36" i="72"/>
  <c r="AM37" i="72"/>
  <c r="AQ29" i="72"/>
  <c r="AM18" i="72"/>
  <c r="AO20" i="72"/>
  <c r="AQ37" i="72"/>
  <c r="AQ33" i="72"/>
  <c r="AQ27" i="72"/>
  <c r="AQ17" i="72"/>
  <c r="AM17" i="72"/>
  <c r="AO36" i="72"/>
  <c r="AM27" i="72"/>
  <c r="AQ20" i="72"/>
  <c r="AM12" i="72"/>
  <c r="AQ14" i="72"/>
  <c r="AO12" i="72"/>
  <c r="AO32" i="72"/>
  <c r="AM11" i="72"/>
  <c r="V40" i="72"/>
  <c r="AH40" i="72"/>
  <c r="AL40" i="72"/>
  <c r="J40" i="72"/>
  <c r="R40" i="72"/>
  <c r="AO15" i="72"/>
  <c r="AO13" i="72"/>
  <c r="AQ9" i="72"/>
  <c r="F40" i="72"/>
  <c r="Z40" i="72"/>
  <c r="AO21" i="72"/>
  <c r="N40" i="72"/>
  <c r="AO9" i="72"/>
  <c r="AF40" i="72"/>
  <c r="AM38" i="72"/>
  <c r="AA39" i="72"/>
  <c r="AN40" i="72"/>
  <c r="AG40" i="72"/>
  <c r="AM23" i="71"/>
  <c r="AQ23" i="71"/>
  <c r="AO34" i="71"/>
  <c r="AM11" i="71"/>
  <c r="AQ11" i="71"/>
  <c r="AQ27" i="71"/>
  <c r="AM22" i="71"/>
  <c r="AM14" i="71"/>
  <c r="AM30" i="71"/>
  <c r="AQ30" i="71"/>
  <c r="AQ22" i="71"/>
  <c r="AO33" i="71"/>
  <c r="AO25" i="71"/>
  <c r="AM37" i="71"/>
  <c r="AM33" i="71"/>
  <c r="AM28" i="71"/>
  <c r="AM26" i="71"/>
  <c r="AM25" i="71"/>
  <c r="AO10" i="71"/>
  <c r="AQ26" i="71"/>
  <c r="AO21" i="71"/>
  <c r="AM36" i="71"/>
  <c r="AO17" i="71"/>
  <c r="AM15" i="71"/>
  <c r="AQ31" i="71"/>
  <c r="AQ32" i="71"/>
  <c r="AM32" i="71"/>
  <c r="AM20" i="71"/>
  <c r="V40" i="71"/>
  <c r="AM27" i="71"/>
  <c r="AQ17" i="71"/>
  <c r="Z40" i="71"/>
  <c r="AQ10" i="71"/>
  <c r="AO36" i="71"/>
  <c r="N40" i="71"/>
  <c r="AM9" i="71"/>
  <c r="AM31" i="71"/>
  <c r="AL40" i="71"/>
  <c r="AQ20" i="71"/>
  <c r="AQ15" i="71"/>
  <c r="AM16" i="71"/>
  <c r="AQ38" i="71"/>
  <c r="AQ9" i="71"/>
  <c r="AF40" i="71"/>
  <c r="AQ21" i="71"/>
  <c r="AH40" i="71"/>
  <c r="AP40" i="71"/>
  <c r="AA39" i="71"/>
  <c r="R40" i="71"/>
  <c r="AO9" i="66"/>
  <c r="AO20" i="66"/>
  <c r="AM20" i="66"/>
  <c r="AO25" i="66"/>
  <c r="AQ38" i="66"/>
  <c r="AQ33" i="66"/>
  <c r="AO17" i="66"/>
  <c r="AO16" i="66"/>
  <c r="AO32" i="66"/>
  <c r="AO10" i="66"/>
  <c r="AQ30" i="66"/>
  <c r="AO15" i="66"/>
  <c r="AM18" i="66"/>
  <c r="AM28" i="66"/>
  <c r="AQ12" i="66"/>
  <c r="AO8" i="66"/>
  <c r="AQ13" i="66"/>
  <c r="AM8" i="66"/>
  <c r="AQ15" i="66"/>
  <c r="AQ10" i="66"/>
  <c r="AQ36" i="66"/>
  <c r="AM30" i="66"/>
  <c r="AM36" i="66"/>
  <c r="AO21" i="66"/>
  <c r="AQ27" i="66"/>
  <c r="AQ22" i="66"/>
  <c r="N40" i="66"/>
  <c r="AH40" i="66"/>
  <c r="AF40" i="66"/>
  <c r="AO11" i="66"/>
  <c r="Z40" i="66"/>
  <c r="AQ25" i="66"/>
  <c r="F40" i="66"/>
  <c r="AM27" i="66"/>
  <c r="V40" i="66"/>
  <c r="AG40" i="66"/>
  <c r="AA39" i="66"/>
  <c r="J40" i="66"/>
  <c r="AO37" i="66"/>
  <c r="AQ37" i="66"/>
  <c r="AM11" i="66"/>
  <c r="AO31" i="66"/>
  <c r="AO18" i="66"/>
  <c r="AQ31" i="66"/>
  <c r="AQ32" i="66"/>
  <c r="AO26" i="66"/>
  <c r="AL40" i="66"/>
  <c r="AO13" i="66"/>
  <c r="AM21" i="66"/>
  <c r="AQ26" i="66"/>
  <c r="AO22" i="66"/>
  <c r="AQ16" i="66"/>
  <c r="AM27" i="67"/>
  <c r="AQ34" i="67"/>
  <c r="AO27" i="67"/>
  <c r="AO21" i="67"/>
  <c r="AO34" i="67"/>
  <c r="AQ23" i="67"/>
  <c r="AQ17" i="67"/>
  <c r="AO23" i="67"/>
  <c r="AM16" i="67"/>
  <c r="AO17" i="67"/>
  <c r="AQ31" i="67"/>
  <c r="AQ16" i="67"/>
  <c r="AQ22" i="67"/>
  <c r="AP40" i="67"/>
  <c r="AM31" i="67"/>
  <c r="AO18" i="67"/>
  <c r="AQ12" i="67"/>
  <c r="AM11" i="67"/>
  <c r="AO9" i="67"/>
  <c r="AM12" i="67"/>
  <c r="AQ15" i="67"/>
  <c r="AQ26" i="67"/>
  <c r="AL40" i="67"/>
  <c r="AQ11" i="67"/>
  <c r="AO28" i="67"/>
  <c r="AF40" i="67"/>
  <c r="AH40" i="67"/>
  <c r="AQ13" i="67"/>
  <c r="AG40" i="67"/>
  <c r="AA39" i="67"/>
  <c r="AO26" i="67"/>
  <c r="AM21" i="67"/>
  <c r="AO13" i="67"/>
  <c r="AQ36" i="67"/>
  <c r="AM30" i="67"/>
  <c r="AO22" i="67"/>
  <c r="AM15" i="67"/>
  <c r="AO36" i="67"/>
  <c r="AO8" i="67"/>
  <c r="AO32" i="67"/>
  <c r="AO20" i="67"/>
  <c r="AQ38" i="67"/>
  <c r="AO14" i="67"/>
  <c r="AQ25" i="67"/>
  <c r="AQ24" i="67"/>
  <c r="AO38" i="67"/>
  <c r="AO10" i="67"/>
  <c r="AM10" i="67"/>
  <c r="AO29" i="67"/>
  <c r="AQ19" i="67"/>
  <c r="AO25" i="67"/>
  <c r="AO24" i="67"/>
  <c r="AQ18" i="67"/>
  <c r="AQ20" i="67"/>
  <c r="AQ29" i="67"/>
  <c r="AO19" i="67"/>
  <c r="AQ30" i="67"/>
  <c r="AQ14" i="67"/>
  <c r="AM15" i="68"/>
  <c r="AO21" i="68"/>
  <c r="AM9" i="68"/>
  <c r="AQ13" i="68"/>
  <c r="AM33" i="68"/>
  <c r="AO15" i="68"/>
  <c r="AQ27" i="68"/>
  <c r="AO14" i="69"/>
  <c r="AM17" i="69"/>
  <c r="AM8" i="69"/>
  <c r="AO37" i="69"/>
  <c r="AQ38" i="69"/>
  <c r="AM18" i="69"/>
  <c r="AQ14" i="69"/>
  <c r="AQ25" i="69"/>
  <c r="AO18" i="68"/>
  <c r="AO38" i="68"/>
  <c r="AQ11" i="68"/>
  <c r="AQ38" i="68"/>
  <c r="AL39" i="68"/>
  <c r="AL40" i="68" s="1"/>
  <c r="AO37" i="68"/>
  <c r="AM25" i="68"/>
  <c r="AM18" i="68"/>
  <c r="AM31" i="68"/>
  <c r="AM24" i="68"/>
  <c r="AO32" i="68"/>
  <c r="AQ31" i="68"/>
  <c r="AQ28" i="68"/>
  <c r="AN40" i="68"/>
  <c r="AO26" i="68"/>
  <c r="AQ36" i="68"/>
  <c r="AG40" i="68"/>
  <c r="AH40" i="68"/>
  <c r="AO27" i="68"/>
  <c r="Z40" i="68"/>
  <c r="R40" i="68"/>
  <c r="AO12" i="68"/>
  <c r="N40" i="68"/>
  <c r="AF40" i="68"/>
  <c r="AQ12" i="68"/>
  <c r="AM28" i="68"/>
  <c r="AM14" i="68"/>
  <c r="AO36" i="68"/>
  <c r="V40" i="68"/>
  <c r="AM26" i="68"/>
  <c r="AA39" i="68"/>
  <c r="AQ21" i="68"/>
  <c r="AO34" i="68"/>
  <c r="AM37" i="68"/>
  <c r="AP40" i="68"/>
  <c r="AQ36" i="73"/>
  <c r="AM36" i="73"/>
  <c r="AO35" i="70"/>
  <c r="AM29" i="70"/>
  <c r="N40" i="70"/>
  <c r="AO31" i="70"/>
  <c r="AQ18" i="70"/>
  <c r="AM30" i="70"/>
  <c r="AO18" i="70"/>
  <c r="AO38" i="70"/>
  <c r="AQ30" i="70"/>
  <c r="AM34" i="70"/>
  <c r="AO11" i="70"/>
  <c r="AQ34" i="70"/>
  <c r="AO32" i="70"/>
  <c r="AQ19" i="70"/>
  <c r="AQ17" i="70"/>
  <c r="AM12" i="70"/>
  <c r="AM38" i="70"/>
  <c r="AQ11" i="70"/>
  <c r="AM32" i="70"/>
  <c r="AO37" i="70"/>
  <c r="AN40" i="70"/>
  <c r="AL40" i="70"/>
  <c r="AO26" i="70"/>
  <c r="Q40" i="70"/>
  <c r="R9" i="1" s="1"/>
  <c r="S9" i="1" s="1"/>
  <c r="W40" i="70"/>
  <c r="X9" i="1" s="1"/>
  <c r="X20" i="1" s="1"/>
  <c r="E12" i="42" s="1"/>
  <c r="E40" i="70"/>
  <c r="F9" i="1" s="1"/>
  <c r="G9" i="1" s="1"/>
  <c r="Y40" i="70"/>
  <c r="Z9" i="1" s="1"/>
  <c r="Z20" i="1" s="1"/>
  <c r="I12" i="42" s="1"/>
  <c r="J12" i="42" s="1"/>
  <c r="V40" i="70"/>
  <c r="AO9" i="70"/>
  <c r="M40" i="70"/>
  <c r="N9" i="1" s="1"/>
  <c r="K40" i="70"/>
  <c r="L9" i="1" s="1"/>
  <c r="AQ10" i="70"/>
  <c r="AQ26" i="70"/>
  <c r="AM20" i="70"/>
  <c r="AQ20" i="70"/>
  <c r="AO25" i="70"/>
  <c r="AO19" i="70"/>
  <c r="AO10" i="70"/>
  <c r="AQ31" i="70"/>
  <c r="AQ25" i="70"/>
  <c r="AF39" i="70"/>
  <c r="AG39" i="70"/>
  <c r="AA33" i="2"/>
  <c r="AQ33" i="2" s="1"/>
  <c r="AA32" i="2"/>
  <c r="AO32" i="2" s="1"/>
  <c r="AQ11" i="69"/>
  <c r="AQ13" i="69"/>
  <c r="AO13" i="69"/>
  <c r="AO11" i="69"/>
  <c r="AM15" i="69"/>
  <c r="AO25" i="69"/>
  <c r="AM24" i="69"/>
  <c r="AQ12" i="69"/>
  <c r="AM12" i="69"/>
  <c r="AO32" i="69"/>
  <c r="AO26" i="69"/>
  <c r="AO20" i="69"/>
  <c r="AM37" i="69"/>
  <c r="N40" i="69"/>
  <c r="J40" i="69"/>
  <c r="AM34" i="69"/>
  <c r="AQ26" i="69"/>
  <c r="AQ21" i="69"/>
  <c r="AQ34" i="69"/>
  <c r="AO28" i="69"/>
  <c r="AQ28" i="69"/>
  <c r="AQ22" i="69"/>
  <c r="AO22" i="69"/>
  <c r="AM16" i="69"/>
  <c r="AQ16" i="69"/>
  <c r="AQ8" i="69"/>
  <c r="AM36" i="69"/>
  <c r="AQ18" i="69"/>
  <c r="AM21" i="69"/>
  <c r="AQ24" i="69"/>
  <c r="AM30" i="69"/>
  <c r="AG40" i="69"/>
  <c r="AQ36" i="69"/>
  <c r="AN40" i="69"/>
  <c r="Z40" i="69"/>
  <c r="V40" i="69"/>
  <c r="AQ30" i="69"/>
  <c r="AL39" i="69"/>
  <c r="AQ36" i="70"/>
  <c r="AM23" i="70"/>
  <c r="AM28" i="70"/>
  <c r="AQ9" i="70"/>
  <c r="AO23" i="70"/>
  <c r="AM36" i="70"/>
  <c r="AM16" i="70"/>
  <c r="AM37" i="70"/>
  <c r="AM9" i="70"/>
  <c r="AQ16" i="70"/>
  <c r="AQ12" i="70"/>
  <c r="AA19" i="2"/>
  <c r="AM19" i="2" s="1"/>
  <c r="AA31" i="2"/>
  <c r="AO31" i="2" s="1"/>
  <c r="AA17" i="2"/>
  <c r="AQ17" i="2" s="1"/>
  <c r="AA16" i="2"/>
  <c r="AQ16" i="2" s="1"/>
  <c r="AA23" i="2"/>
  <c r="AM23" i="2" s="1"/>
  <c r="AA18" i="2"/>
  <c r="AQ18" i="2" s="1"/>
  <c r="AA34" i="2"/>
  <c r="AQ34" i="2" s="1"/>
  <c r="AA9" i="2"/>
  <c r="AQ9" i="2" s="1"/>
  <c r="AA29" i="2"/>
  <c r="AQ29" i="2" s="1"/>
  <c r="AA38" i="2"/>
  <c r="AM38" i="2" s="1"/>
  <c r="AA28" i="2"/>
  <c r="AO28" i="2" s="1"/>
  <c r="AA14" i="2"/>
  <c r="AA15" i="2"/>
  <c r="AM15" i="2" s="1"/>
  <c r="AA30" i="2"/>
  <c r="AQ30" i="2" s="1"/>
  <c r="AA8" i="2"/>
  <c r="AA25" i="2"/>
  <c r="AQ25" i="2" s="1"/>
  <c r="AA13" i="2"/>
  <c r="AO13" i="2" s="1"/>
  <c r="AA35" i="2"/>
  <c r="AM35" i="2" s="1"/>
  <c r="AA37" i="2"/>
  <c r="AM37" i="2" s="1"/>
  <c r="AA24" i="2"/>
  <c r="AA12" i="2"/>
  <c r="AM12" i="2" s="1"/>
  <c r="AA22" i="2"/>
  <c r="AQ22" i="2" s="1"/>
  <c r="AA21" i="2"/>
  <c r="AQ21" i="2" s="1"/>
  <c r="AA36" i="2"/>
  <c r="AM36" i="2" s="1"/>
  <c r="AA11" i="2"/>
  <c r="AO11" i="2" s="1"/>
  <c r="AA10" i="2"/>
  <c r="AQ10" i="2" s="1"/>
  <c r="AA20" i="2"/>
  <c r="AM20" i="2" s="1"/>
  <c r="AA27" i="2"/>
  <c r="AM27" i="2" s="1"/>
  <c r="AQ15" i="70"/>
  <c r="AM15" i="70"/>
  <c r="AO17" i="70"/>
  <c r="AM14" i="70"/>
  <c r="AO14" i="70"/>
  <c r="AA26" i="2"/>
  <c r="AM26" i="2" s="1"/>
  <c r="D17" i="39"/>
  <c r="AQ8" i="76"/>
  <c r="AM8" i="76"/>
  <c r="AO8" i="76"/>
  <c r="AQ8" i="75"/>
  <c r="AO8" i="75"/>
  <c r="F19" i="39"/>
  <c r="AQ8" i="74"/>
  <c r="AM8" i="74"/>
  <c r="AO8" i="74"/>
  <c r="AM8" i="73"/>
  <c r="AQ8" i="73"/>
  <c r="AO8" i="73"/>
  <c r="E17" i="39"/>
  <c r="AQ8" i="72"/>
  <c r="AO8" i="72"/>
  <c r="AM8" i="72"/>
  <c r="D15" i="39"/>
  <c r="F17" i="39"/>
  <c r="D18" i="39"/>
  <c r="D16" i="39"/>
  <c r="D19" i="39"/>
  <c r="E19" i="39"/>
  <c r="D14" i="39"/>
  <c r="E15" i="39"/>
  <c r="F15" i="39"/>
  <c r="AO8" i="71"/>
  <c r="AM8" i="71"/>
  <c r="AQ8" i="71"/>
  <c r="AQ8" i="68"/>
  <c r="AM8" i="68"/>
  <c r="F12" i="39"/>
  <c r="AM8" i="67"/>
  <c r="AQ8" i="67"/>
  <c r="D10" i="39"/>
  <c r="E12" i="39"/>
  <c r="E9" i="39"/>
  <c r="D11" i="39"/>
  <c r="D9" i="39"/>
  <c r="E10" i="39"/>
  <c r="F10" i="39"/>
  <c r="D12" i="39"/>
  <c r="K40" i="2"/>
  <c r="L8" i="1" s="1"/>
  <c r="N39" i="2"/>
  <c r="V39" i="2"/>
  <c r="V40" i="2" s="1"/>
  <c r="Z39" i="2"/>
  <c r="AG39" i="2"/>
  <c r="F18" i="39"/>
  <c r="F16" i="39"/>
  <c r="F14" i="39"/>
  <c r="D13" i="39"/>
  <c r="F13" i="39"/>
  <c r="F11" i="39"/>
  <c r="J20" i="1"/>
  <c r="I8" i="42" s="1"/>
  <c r="J8" i="42" s="1"/>
  <c r="H20" i="1"/>
  <c r="E8" i="42" s="1"/>
  <c r="U20" i="1"/>
  <c r="F11" i="42" s="1"/>
  <c r="AL39" i="2"/>
  <c r="E14" i="39"/>
  <c r="R39" i="2"/>
  <c r="U40" i="2"/>
  <c r="V8" i="1" s="1"/>
  <c r="V20" i="1" s="1"/>
  <c r="I11" i="42" s="1"/>
  <c r="J11" i="42" s="1"/>
  <c r="H40" i="2"/>
  <c r="I8" i="1" s="1"/>
  <c r="M40" i="2"/>
  <c r="N8" i="1" s="1"/>
  <c r="J39" i="2"/>
  <c r="L40" i="2"/>
  <c r="M8" i="1" s="1"/>
  <c r="P40" i="2"/>
  <c r="Q8" i="1" s="1"/>
  <c r="C40" i="2"/>
  <c r="D8" i="1" s="1"/>
  <c r="G8" i="1" s="1"/>
  <c r="O40" i="2"/>
  <c r="P8" i="1" s="1"/>
  <c r="X40" i="2"/>
  <c r="Y8" i="1" s="1"/>
  <c r="Q40" i="2"/>
  <c r="R8" i="1" s="1"/>
  <c r="S40" i="2"/>
  <c r="T8" i="1" s="1"/>
  <c r="AM33" i="69" l="1"/>
  <c r="AQ33" i="69"/>
  <c r="AM10" i="69"/>
  <c r="AA39" i="69"/>
  <c r="AA40" i="69" s="1"/>
  <c r="AQ40" i="69" s="1"/>
  <c r="AO8" i="70"/>
  <c r="AM8" i="70"/>
  <c r="AQ10" i="69"/>
  <c r="AA39" i="70"/>
  <c r="AA40" i="70" s="1"/>
  <c r="AM40" i="70" s="1"/>
  <c r="AM22" i="70"/>
  <c r="AA41" i="69"/>
  <c r="AQ9" i="69"/>
  <c r="AM9" i="69"/>
  <c r="AO22" i="70"/>
  <c r="AA41" i="70"/>
  <c r="AP39" i="2"/>
  <c r="AP40" i="2" s="1"/>
  <c r="N20" i="1"/>
  <c r="I9" i="42" s="1"/>
  <c r="J9" i="42" s="1"/>
  <c r="L20" i="1"/>
  <c r="E9" i="42" s="1"/>
  <c r="AM8" i="2"/>
  <c r="AA41" i="2"/>
  <c r="AQ8" i="2"/>
  <c r="AA9" i="1"/>
  <c r="O9" i="1"/>
  <c r="F9" i="39"/>
  <c r="G9" i="39" s="1"/>
  <c r="AA40" i="76"/>
  <c r="AO40" i="76" s="1"/>
  <c r="AA40" i="75"/>
  <c r="AM40" i="75" s="1"/>
  <c r="AN40" i="75"/>
  <c r="AA40" i="74"/>
  <c r="AO40" i="74" s="1"/>
  <c r="AA40" i="73"/>
  <c r="AQ40" i="73" s="1"/>
  <c r="AA40" i="72"/>
  <c r="AQ40" i="72" s="1"/>
  <c r="AA40" i="71"/>
  <c r="AQ40" i="71" s="1"/>
  <c r="AA40" i="66"/>
  <c r="AA40" i="67"/>
  <c r="AA40" i="68"/>
  <c r="AM40" i="68" s="1"/>
  <c r="AG40" i="70"/>
  <c r="AF40" i="70"/>
  <c r="AL40" i="69"/>
  <c r="E8" i="39"/>
  <c r="T20" i="1"/>
  <c r="E11" i="42" s="1"/>
  <c r="G11" i="42" s="1"/>
  <c r="D8" i="39"/>
  <c r="R20" i="1"/>
  <c r="I10" i="42" s="1"/>
  <c r="J10" i="42" s="1"/>
  <c r="F8" i="39"/>
  <c r="G15" i="39"/>
  <c r="E18" i="39"/>
  <c r="E16" i="39"/>
  <c r="G16" i="39" s="1"/>
  <c r="E11" i="39"/>
  <c r="G11" i="39" s="1"/>
  <c r="E13" i="39"/>
  <c r="Y20" i="1"/>
  <c r="F12" i="42" s="1"/>
  <c r="G12" i="42" s="1"/>
  <c r="AO24" i="2"/>
  <c r="M20" i="1"/>
  <c r="F9" i="42" s="1"/>
  <c r="Z40" i="2"/>
  <c r="R40" i="2"/>
  <c r="AQ35" i="2"/>
  <c r="N40" i="2"/>
  <c r="AG40" i="2"/>
  <c r="AO14" i="2"/>
  <c r="G12" i="39"/>
  <c r="G17" i="39"/>
  <c r="P20" i="1"/>
  <c r="E10" i="42" s="1"/>
  <c r="G19" i="39"/>
  <c r="AO10" i="2"/>
  <c r="S8" i="1"/>
  <c r="AM30" i="2"/>
  <c r="O8" i="1"/>
  <c r="AO15" i="2"/>
  <c r="W8" i="1"/>
  <c r="W20" i="1" s="1"/>
  <c r="AM25" i="2"/>
  <c r="G10" i="39"/>
  <c r="AQ28" i="2"/>
  <c r="AO29" i="2"/>
  <c r="AO33" i="2"/>
  <c r="AO17" i="2"/>
  <c r="AO35" i="2"/>
  <c r="AM33" i="2"/>
  <c r="AO34" i="2"/>
  <c r="AQ37" i="2"/>
  <c r="AO38" i="2"/>
  <c r="AM28" i="2"/>
  <c r="AQ31" i="2"/>
  <c r="AO27" i="2"/>
  <c r="AO25" i="2"/>
  <c r="I20" i="1"/>
  <c r="F8" i="42" s="1"/>
  <c r="G8" i="42" s="1"/>
  <c r="AO19" i="2"/>
  <c r="AM32" i="2"/>
  <c r="AA8" i="1"/>
  <c r="K8" i="1"/>
  <c r="K20" i="1" s="1"/>
  <c r="AQ38" i="2"/>
  <c r="AO30" i="2"/>
  <c r="AO16" i="2"/>
  <c r="AM18" i="2"/>
  <c r="AQ27" i="2"/>
  <c r="AO26" i="2"/>
  <c r="AQ24" i="2"/>
  <c r="AO23" i="2"/>
  <c r="AQ23" i="2"/>
  <c r="AM17" i="2"/>
  <c r="AM13" i="2"/>
  <c r="AM10" i="2"/>
  <c r="AM11" i="2"/>
  <c r="AL40" i="2"/>
  <c r="AQ11" i="2"/>
  <c r="G14" i="39"/>
  <c r="Q20" i="1"/>
  <c r="F10" i="42" s="1"/>
  <c r="E20" i="1"/>
  <c r="F7" i="42" s="1"/>
  <c r="F20" i="1"/>
  <c r="AO8" i="2"/>
  <c r="AQ14" i="2"/>
  <c r="AO12" i="2"/>
  <c r="AM22" i="2"/>
  <c r="AQ13" i="2"/>
  <c r="AQ19" i="2"/>
  <c r="AN39" i="2"/>
  <c r="AQ12" i="2"/>
  <c r="AQ26" i="2"/>
  <c r="AO22" i="2"/>
  <c r="AO18" i="2"/>
  <c r="AM16" i="2"/>
  <c r="AO21" i="2"/>
  <c r="AO36" i="2"/>
  <c r="AM21" i="2"/>
  <c r="AF40" i="2"/>
  <c r="AM9" i="2"/>
  <c r="AO20" i="2"/>
  <c r="AM29" i="2"/>
  <c r="AO37" i="2"/>
  <c r="AQ36" i="2"/>
  <c r="AM31" i="2"/>
  <c r="AQ20" i="2"/>
  <c r="AM14" i="2"/>
  <c r="AM24" i="2"/>
  <c r="AQ15" i="2"/>
  <c r="AQ32" i="2"/>
  <c r="AM34" i="2"/>
  <c r="AO9" i="2"/>
  <c r="J40" i="2"/>
  <c r="AA39" i="2"/>
  <c r="G9" i="42" l="1"/>
  <c r="AA20" i="1"/>
  <c r="AQ40" i="75"/>
  <c r="AM40" i="76"/>
  <c r="AO40" i="70"/>
  <c r="AQ40" i="70"/>
  <c r="AQ40" i="76"/>
  <c r="AO40" i="75"/>
  <c r="AO40" i="68"/>
  <c r="AQ40" i="68"/>
  <c r="AM40" i="69"/>
  <c r="AO40" i="69"/>
  <c r="AM40" i="74"/>
  <c r="AQ40" i="74"/>
  <c r="AM40" i="73"/>
  <c r="AO40" i="73"/>
  <c r="AM40" i="72"/>
  <c r="AO40" i="72"/>
  <c r="AO40" i="71"/>
  <c r="AM40" i="71"/>
  <c r="AQ40" i="66"/>
  <c r="AO40" i="66"/>
  <c r="AM40" i="66"/>
  <c r="AO40" i="67"/>
  <c r="AQ40" i="67"/>
  <c r="AM40" i="67"/>
  <c r="G8" i="39"/>
  <c r="D11" i="42"/>
  <c r="H11" i="42" s="1"/>
  <c r="D12" i="42"/>
  <c r="K12" i="42" s="1"/>
  <c r="I7" i="42"/>
  <c r="J7" i="42" s="1"/>
  <c r="J13" i="42" s="1"/>
  <c r="S20" i="1"/>
  <c r="D8" i="42"/>
  <c r="H8" i="42" s="1"/>
  <c r="D9" i="42"/>
  <c r="K9" i="42" s="1"/>
  <c r="G10" i="42"/>
  <c r="D10" i="42"/>
  <c r="K10" i="42" s="1"/>
  <c r="O20" i="1"/>
  <c r="G13" i="39"/>
  <c r="F20" i="39"/>
  <c r="E20" i="39"/>
  <c r="F13" i="42"/>
  <c r="G18" i="39"/>
  <c r="G20" i="1"/>
  <c r="D20" i="1"/>
  <c r="E7" i="42" s="1"/>
  <c r="AN40" i="2"/>
  <c r="AA40" i="2"/>
  <c r="AM40" i="2" s="1"/>
  <c r="H12" i="42" l="1"/>
  <c r="I13" i="42"/>
  <c r="K8" i="42"/>
  <c r="H10" i="42"/>
  <c r="H9" i="42"/>
  <c r="D7" i="42"/>
  <c r="G7" i="42"/>
  <c r="G20" i="39"/>
  <c r="AQ40" i="2"/>
  <c r="AO40" i="2"/>
  <c r="E13" i="42"/>
  <c r="D20" i="39"/>
  <c r="K11" i="42"/>
  <c r="H7" i="42" l="1"/>
  <c r="G13" i="42"/>
  <c r="K7" i="42"/>
  <c r="D13" i="42"/>
  <c r="K13" i="42" s="1"/>
  <c r="H13" i="42" l="1"/>
</calcChain>
</file>

<file path=xl/sharedStrings.xml><?xml version="1.0" encoding="utf-8"?>
<sst xmlns="http://schemas.openxmlformats.org/spreadsheetml/2006/main" count="2912" uniqueCount="149">
  <si>
    <t>No</t>
  </si>
  <si>
    <t>Sampah Terkelola</t>
  </si>
  <si>
    <t>Bulan:</t>
  </si>
  <si>
    <t xml:space="preserve">Sumber sampah 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</si>
  <si>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</si>
  <si>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</si>
  <si>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</si>
  <si>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</si>
  <si>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</si>
  <si>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</si>
  <si>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</si>
  <si>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</si>
  <si>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</si>
  <si>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</si>
  <si>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</si>
  <si>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</si>
  <si>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</si>
  <si>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</si>
  <si>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</si>
  <si>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</si>
  <si>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</si>
  <si>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</si>
  <si>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</si>
  <si>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</si>
  <si>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</si>
  <si>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</si>
  <si>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</si>
  <si>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</si>
  <si>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</si>
  <si>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</si>
  <si>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</si>
  <si>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</si>
  <si>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</si>
  <si>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</si>
  <si>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</si>
  <si>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Mei</t>
  </si>
  <si>
    <t>REKAMAN TIMBULAN SAMPAH</t>
  </si>
  <si>
    <t>(kg/hari)</t>
  </si>
  <si>
    <t>Bank Sampah / TPS3R / PDU</t>
  </si>
  <si>
    <t>Prosentase Bank Sampah / TPS3R / PDU</t>
  </si>
  <si>
    <t>Kompos / Pakan Ternak</t>
  </si>
  <si>
    <t>Bulan</t>
  </si>
  <si>
    <t>Tahun</t>
  </si>
  <si>
    <t>Mengetahui,</t>
  </si>
  <si>
    <t>nama pimpinan</t>
  </si>
  <si>
    <t>nopeg/nip</t>
  </si>
  <si>
    <t>(kab/kota), tgl-bulan-tahun</t>
  </si>
  <si>
    <t>nama penyusun</t>
  </si>
  <si>
    <t>Jabatan Pimpinan</t>
  </si>
  <si>
    <t>Jabatan Penyusun</t>
  </si>
  <si>
    <t>Keterangan:</t>
  </si>
  <si>
    <t>kg/bulan</t>
  </si>
  <si>
    <t>ton/bulan</t>
  </si>
  <si>
    <t>kg/hari</t>
  </si>
  <si>
    <t>REKAMAN REKAP JUMLAH SAMPAH BERDASARKAN</t>
  </si>
  <si>
    <t>JENIS SAMPAH TERPILAH</t>
  </si>
  <si>
    <t>REKAMAN REKAP JUMLAH PENGELOLAAN SAMPAH</t>
  </si>
  <si>
    <t>Satuan</t>
  </si>
  <si>
    <t>Total/jenis (kg/bulan)</t>
  </si>
  <si>
    <t>Total/jenis (ton/bulan)</t>
  </si>
  <si>
    <t>Prosentase Kompos/pakan ternak</t>
  </si>
  <si>
    <t xml:space="preserve"> </t>
  </si>
  <si>
    <t>Juli</t>
  </si>
  <si>
    <t>Tahun :</t>
  </si>
  <si>
    <t>-</t>
  </si>
  <si>
    <t>Agustus</t>
  </si>
  <si>
    <t>September</t>
  </si>
  <si>
    <t>November</t>
  </si>
  <si>
    <t>Desember</t>
  </si>
  <si>
    <t>Januari</t>
  </si>
  <si>
    <t>Februari</t>
  </si>
  <si>
    <t>Maret</t>
  </si>
  <si>
    <t>April</t>
  </si>
  <si>
    <t>Juni</t>
  </si>
  <si>
    <t>Rata-rata perhari (kg/hari)</t>
  </si>
  <si>
    <t>rata2 perhari (kg/hari)</t>
  </si>
  <si>
    <t>Oktober</t>
  </si>
  <si>
    <t>…</t>
  </si>
  <si>
    <t>Jumlah 
Sampah Organik Terpilah
(ton/bulan)</t>
  </si>
  <si>
    <t>Jumlah 
Timbulan Sampah
(ton/bulan)</t>
  </si>
  <si>
    <t>Jumlah
Timbulan Sampah
(ton/tahun)</t>
  </si>
  <si>
    <t>Sumber Sampah</t>
  </si>
  <si>
    <t>Total (ton/tahun)</t>
  </si>
  <si>
    <t>Jumlah Sampah Organik Terpilah</t>
  </si>
  <si>
    <t>Area Lain (sebutkan jika ada)</t>
  </si>
  <si>
    <t xml:space="preserve"> Sampah Organik Terpilah</t>
  </si>
  <si>
    <t>Jumlah 
Sampah Organik</t>
  </si>
  <si>
    <t>Tanggal</t>
  </si>
  <si>
    <t>Rekap Data Pengelolaan Sampah</t>
  </si>
  <si>
    <t>Periode</t>
  </si>
  <si>
    <t>No.</t>
  </si>
  <si>
    <t>Bulan :</t>
  </si>
  <si>
    <t>Jumlah
 Sampah Organik</t>
  </si>
  <si>
    <t>Sampah Terkelola (kg/hari)</t>
  </si>
  <si>
    <t>Total Pengelolaan Sampah(kg/bulan)</t>
  </si>
  <si>
    <t>Total Sampah terkelola (ton/bulan)</t>
  </si>
  <si>
    <t>Total Jenis Sampah Terpilah (kg/bulan)</t>
  </si>
  <si>
    <t>Total Jenis Sampah Terpilah (ton/bulan)</t>
  </si>
  <si>
    <t>Rata-rata Jenis Sampah Terpilah perhari (kg/hari)</t>
  </si>
  <si>
    <t>Rata-rata Sampah Terkelola perhari (kg/hari)</t>
  </si>
  <si>
    <t>: Perhitungan Otomatis</t>
  </si>
  <si>
    <t>Jumlah 
Sampah Residu ke TPA</t>
  </si>
  <si>
    <t>Prosentase 
Sampah Residu 
yang diangkut ke TPA</t>
  </si>
  <si>
    <t>Sampah Residu yang
diangkut ke TPA</t>
  </si>
  <si>
    <t>Rekap Jumlah Sampah Terkelola</t>
  </si>
  <si>
    <t>Penanganan Sampah (ton/tahun)</t>
  </si>
  <si>
    <t>Rekap Neraca Sampah</t>
  </si>
  <si>
    <t>Berdasarkan Jenis Sampah Terpilah</t>
  </si>
  <si>
    <t>Sampah Anorganik Terpilah</t>
  </si>
  <si>
    <t>Area Kantor</t>
  </si>
  <si>
    <t>Jumlah 
Sampah Anorganik</t>
  </si>
  <si>
    <t>Area Ruang Tunggu</t>
  </si>
  <si>
    <t>Jumlah 
Sampah Anorganik Terpilah
(ton/bulan)</t>
  </si>
  <si>
    <t>Area Kantor (ton/bulan)</t>
  </si>
  <si>
    <t>Area Tempat Parkir/Taman/Jalan (ton/bulan)</t>
  </si>
  <si>
    <t>Area Tempat Makan</t>
  </si>
  <si>
    <t>Perusahaan :</t>
  </si>
  <si>
    <t>Jumlah Sampah Anorganik Terpilah</t>
  </si>
  <si>
    <t>Jumlah Timbulan Sampah</t>
  </si>
  <si>
    <t>Area Lain (ton/bulan)</t>
  </si>
  <si>
    <t>Sampah kapal (khusus pelabuhan) (ton/bulan)</t>
  </si>
  <si>
    <t>Area Ruang Tunggu (ton/bulan)</t>
  </si>
  <si>
    <t>Area Tempat Makan (ton/bulan)</t>
  </si>
  <si>
    <t>Area Tempat Parkir/Taman/Jalan</t>
  </si>
  <si>
    <t>Sampah Kapal (Khusus Pelabuhan)</t>
  </si>
  <si>
    <t>TOTAL TIMBULAN SAMPAH 
DI SELURUH AREA</t>
  </si>
  <si>
    <t>DI SELURUH AREA</t>
  </si>
  <si>
    <t>Perusahaan</t>
  </si>
  <si>
    <t>Total
Sampah Terkelola</t>
  </si>
  <si>
    <t>Prosentase
Sampah Terkelola</t>
  </si>
  <si>
    <t>Berdasarkan Per Lokasi Area</t>
  </si>
  <si>
    <t>Total Timbulan Sampah</t>
  </si>
  <si>
    <t>: Tahun dan nama perusahaan mohon diisi</t>
  </si>
  <si>
    <t>: Data di isi sesuai kondisi riil dilapangan.</t>
  </si>
  <si>
    <t>Nopember</t>
  </si>
  <si>
    <t>JULI</t>
  </si>
  <si>
    <t>JUNI</t>
  </si>
  <si>
    <t>ttd</t>
  </si>
  <si>
    <t>ttd+cap</t>
  </si>
  <si>
    <t>Jumlah 
Sampah Anorganik Terpilah</t>
  </si>
  <si>
    <t>Jumlah
Sampah Lainnya dan/atau residu</t>
  </si>
  <si>
    <t>Total
Sampah Lainnya dan/atau residu</t>
  </si>
  <si>
    <t>Prosentase
Sampah Lainnya dan/atau residu</t>
  </si>
  <si>
    <t>Jumlah 
Sampah Lainnya dan/atau Residu
(ton/bulan)</t>
  </si>
  <si>
    <t>Jumlah Sampah Lainnya dan/atau Residu</t>
  </si>
  <si>
    <t>Sampah Lainnya dan/atau Residu</t>
  </si>
  <si>
    <t xml:space="preserve">         </t>
  </si>
  <si>
    <t>3+3</t>
  </si>
  <si>
    <t>PT PELINDO DAYA SEJAHTERA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</si>
</sst>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3"/>
      <color theme="1"/>
      <name val="Arial"/>
      <family val="2"/>
    </font>
    <font>
      <sz val="11"/>
      <color theme="1"/>
      <name val="Arial"/>
      <family val="2"/>
    </font>
    <font>
      <b/>
      <sz val="13"/>
      <color theme="1"/>
      <name val="Arial"/>
      <family val="2"/>
    </font>
    <font>
      <b/>
      <sz val="11"/>
      <color rgb="FF000000"/>
      <name val="Arial"/>
      <family val="2"/>
    </font>
    <font>
      <b/>
      <sz val="11"/>
      <color theme="1"/>
      <name val="Arial"/>
      <family val="2"/>
    </font>
    <font>
      <b/>
      <sz val="12"/>
      <color rgb="FF00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CCFF66"/>
        <bgColor indexed="64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1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textRotation="90"/>
    </xf>
    <xf numFmtId="2" fontId="0" fillId="0" borderId="0" xfId="0" applyNumberFormat="1"/>
    <xf numFmtId="0" fontId="2" fillId="0" borderId="0" xfId="0" applyFont="1"/>
    <xf numFmtId="0" fontId="2" fillId="0" borderId="0" xfId="0" applyFont="1" applyAlignment="1">
      <alignment horizontal="center" textRotation="90" wrapText="1"/>
    </xf>
    <xf numFmtId="0" fontId="0" fillId="0" borderId="0" xfId="0" applyAlignment="1">
      <alignment wrapText="1"/>
    </xf>
    <xf numFmtId="2" fontId="0" fillId="0" borderId="0" xfId="0" quotePrefix="1" applyNumberFormat="1" applyAlignment="1">
      <alignment horizontal="center"/>
    </xf>
    <xf numFmtId="0" fontId="10" fillId="0" borderId="0" xfId="0" applyFont="1"/>
    <xf numFmtId="0" fontId="10" fillId="0" borderId="1" xfId="0" applyFont="1" applyBorder="1"/>
    <xf numFmtId="0" fontId="2" fillId="0" borderId="0" xfId="0" applyFont="1" applyAlignment="1">
      <alignment textRotation="90"/>
    </xf>
    <xf numFmtId="0" fontId="13" fillId="0" borderId="0" xfId="0" applyFont="1"/>
    <xf numFmtId="0" fontId="15" fillId="3" borderId="48" xfId="0" applyFont="1" applyFill="1" applyBorder="1" applyAlignment="1">
      <alignment horizontal="center" vertical="center" textRotation="90" wrapText="1"/>
    </xf>
    <xf numFmtId="0" fontId="15" fillId="3" borderId="15" xfId="0" applyFont="1" applyFill="1" applyBorder="1" applyAlignment="1">
      <alignment horizontal="center" vertical="center" textRotation="90" wrapText="1"/>
    </xf>
    <xf numFmtId="0" fontId="16" fillId="3" borderId="50" xfId="0" applyFont="1" applyFill="1" applyBorder="1" applyAlignment="1">
      <alignment horizontal="center"/>
    </xf>
    <xf numFmtId="0" fontId="16" fillId="3" borderId="34" xfId="0" quotePrefix="1" applyFont="1" applyFill="1" applyBorder="1" applyAlignment="1">
      <alignment horizontal="center"/>
    </xf>
    <xf numFmtId="0" fontId="16" fillId="3" borderId="27" xfId="0" applyFont="1" applyFill="1" applyBorder="1" applyAlignment="1">
      <alignment horizontal="center"/>
    </xf>
    <xf numFmtId="0" fontId="16" fillId="3" borderId="29" xfId="0" quotePrefix="1" applyFont="1" applyFill="1" applyBorder="1" applyAlignment="1">
      <alignment horizontal="center"/>
    </xf>
    <xf numFmtId="0" fontId="16" fillId="3" borderId="51" xfId="0" applyFont="1" applyFill="1" applyBorder="1" applyAlignment="1">
      <alignment horizontal="center"/>
    </xf>
    <xf numFmtId="0" fontId="16" fillId="3" borderId="35" xfId="0" quotePrefix="1" applyFont="1" applyFill="1" applyBorder="1" applyAlignment="1">
      <alignment horizontal="center"/>
    </xf>
    <xf numFmtId="0" fontId="2" fillId="8" borderId="16" xfId="0" applyFont="1" applyFill="1" applyBorder="1"/>
    <xf numFmtId="0" fontId="2" fillId="8" borderId="22" xfId="0" applyFont="1" applyFill="1" applyBorder="1"/>
    <xf numFmtId="0" fontId="2" fillId="8" borderId="17" xfId="0" applyFont="1" applyFill="1" applyBorder="1"/>
    <xf numFmtId="0" fontId="2" fillId="8" borderId="18" xfId="0" applyFont="1" applyFill="1" applyBorder="1"/>
    <xf numFmtId="0" fontId="2" fillId="8" borderId="0" xfId="0" applyFont="1" applyFill="1"/>
    <xf numFmtId="0" fontId="0" fillId="8" borderId="0" xfId="0" applyFill="1"/>
    <xf numFmtId="0" fontId="0" fillId="8" borderId="19" xfId="0" applyFill="1" applyBorder="1"/>
    <xf numFmtId="0" fontId="0" fillId="8" borderId="18" xfId="0" applyFill="1" applyBorder="1"/>
    <xf numFmtId="0" fontId="2" fillId="8" borderId="19" xfId="0" applyFont="1" applyFill="1" applyBorder="1"/>
    <xf numFmtId="0" fontId="2" fillId="8" borderId="18" xfId="0" applyFont="1" applyFill="1" applyBorder="1" applyAlignment="1">
      <alignment horizontal="left" vertical="center"/>
    </xf>
    <xf numFmtId="0" fontId="2" fillId="8" borderId="0" xfId="0" applyFont="1" applyFill="1" applyAlignment="1">
      <alignment horizontal="left" vertical="center"/>
    </xf>
    <xf numFmtId="0" fontId="2" fillId="8" borderId="44" xfId="0" applyFont="1" applyFill="1" applyBorder="1" applyAlignment="1">
      <alignment horizontal="center" vertical="center" textRotation="90" wrapText="1"/>
    </xf>
    <xf numFmtId="2" fontId="0" fillId="8" borderId="39" xfId="0" quotePrefix="1" applyNumberFormat="1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3" xfId="0" quotePrefix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quotePrefix="1" applyFill="1" applyBorder="1" applyAlignment="1">
      <alignment horizontal="center"/>
    </xf>
    <xf numFmtId="0" fontId="2" fillId="5" borderId="18" xfId="0" applyFont="1" applyFill="1" applyBorder="1"/>
    <xf numFmtId="2" fontId="0" fillId="5" borderId="3" xfId="0" quotePrefix="1" applyNumberFormat="1" applyFill="1" applyBorder="1" applyAlignment="1">
      <alignment horizontal="center"/>
    </xf>
    <xf numFmtId="10" fontId="0" fillId="5" borderId="3" xfId="1" quotePrefix="1" applyNumberFormat="1" applyFont="1" applyFill="1" applyBorder="1" applyAlignment="1">
      <alignment horizontal="center"/>
    </xf>
    <xf numFmtId="2" fontId="0" fillId="5" borderId="1" xfId="0" quotePrefix="1" applyNumberForma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 textRotation="90" wrapText="1"/>
    </xf>
    <xf numFmtId="0" fontId="2" fillId="5" borderId="1" xfId="0" applyFont="1" applyFill="1" applyBorder="1" applyAlignment="1">
      <alignment horizontal="center" vertical="center" textRotation="90" wrapText="1"/>
    </xf>
    <xf numFmtId="0" fontId="2" fillId="5" borderId="51" xfId="0" applyFont="1" applyFill="1" applyBorder="1"/>
    <xf numFmtId="0" fontId="2" fillId="5" borderId="14" xfId="0" applyFont="1" applyFill="1" applyBorder="1"/>
    <xf numFmtId="0" fontId="2" fillId="5" borderId="0" xfId="0" applyFont="1" applyFill="1"/>
    <xf numFmtId="0" fontId="0" fillId="5" borderId="0" xfId="0" applyFill="1"/>
    <xf numFmtId="0" fontId="2" fillId="5" borderId="50" xfId="0" applyFont="1" applyFill="1" applyBorder="1" applyAlignment="1">
      <alignment horizontal="left" vertical="center"/>
    </xf>
    <xf numFmtId="0" fontId="2" fillId="5" borderId="4" xfId="0" applyFont="1" applyFill="1" applyBorder="1" applyAlignment="1">
      <alignment horizontal="left" vertical="center"/>
    </xf>
    <xf numFmtId="0" fontId="2" fillId="5" borderId="4" xfId="0" applyFont="1" applyFill="1" applyBorder="1"/>
    <xf numFmtId="2" fontId="0" fillId="5" borderId="10" xfId="0" quotePrefix="1" applyNumberFormat="1" applyFill="1" applyBorder="1" applyAlignment="1">
      <alignment horizontal="center"/>
    </xf>
    <xf numFmtId="10" fontId="0" fillId="5" borderId="10" xfId="1" quotePrefix="1" applyNumberFormat="1" applyFont="1" applyFill="1" applyBorder="1" applyAlignment="1">
      <alignment horizontal="center"/>
    </xf>
    <xf numFmtId="2" fontId="0" fillId="7" borderId="1" xfId="0" quotePrefix="1" applyNumberFormat="1" applyFill="1" applyBorder="1" applyAlignment="1">
      <alignment horizontal="center"/>
    </xf>
    <xf numFmtId="4" fontId="2" fillId="4" borderId="1" xfId="0" applyNumberFormat="1" applyFont="1" applyFill="1" applyBorder="1" applyAlignment="1">
      <alignment horizontal="center" vertical="center"/>
    </xf>
    <xf numFmtId="2" fontId="0" fillId="2" borderId="1" xfId="0" quotePrefix="1" applyNumberFormat="1" applyFill="1" applyBorder="1" applyAlignment="1">
      <alignment horizontal="center"/>
    </xf>
    <xf numFmtId="2" fontId="0" fillId="8" borderId="1" xfId="0" quotePrefix="1" applyNumberFormat="1" applyFill="1" applyBorder="1" applyAlignment="1">
      <alignment horizontal="center"/>
    </xf>
    <xf numFmtId="4" fontId="10" fillId="8" borderId="1" xfId="0" applyNumberFormat="1" applyFont="1" applyFill="1" applyBorder="1" applyAlignment="1" applyProtection="1">
      <alignment horizontal="center" vertical="center"/>
      <protection hidden="1"/>
    </xf>
    <xf numFmtId="0" fontId="13" fillId="0" borderId="1" xfId="0" applyFont="1" applyBorder="1" applyAlignment="1" applyProtection="1">
      <alignment horizontal="center" vertical="center"/>
      <protection hidden="1"/>
    </xf>
    <xf numFmtId="0" fontId="13" fillId="8" borderId="1" xfId="0" applyFont="1" applyFill="1" applyBorder="1" applyAlignment="1" applyProtection="1">
      <alignment horizontal="center" vertical="center"/>
      <protection hidden="1"/>
    </xf>
    <xf numFmtId="4" fontId="5" fillId="8" borderId="6" xfId="0" quotePrefix="1" applyNumberFormat="1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" fillId="4" borderId="30" xfId="0" applyFont="1" applyFill="1" applyBorder="1" applyProtection="1">
      <protection locked="0"/>
    </xf>
    <xf numFmtId="0" fontId="0" fillId="0" borderId="0" xfId="0" applyAlignment="1" applyProtection="1">
      <alignment textRotation="90"/>
      <protection locked="0"/>
    </xf>
    <xf numFmtId="2" fontId="2" fillId="0" borderId="0" xfId="0" quotePrefix="1" applyNumberFormat="1" applyFont="1" applyAlignment="1" applyProtection="1">
      <alignment horizontal="center"/>
      <protection locked="0"/>
    </xf>
    <xf numFmtId="0" fontId="15" fillId="4" borderId="48" xfId="0" applyFont="1" applyFill="1" applyBorder="1" applyProtection="1">
      <protection locked="0"/>
    </xf>
    <xf numFmtId="0" fontId="15" fillId="4" borderId="15" xfId="0" applyFont="1" applyFill="1" applyBorder="1" applyProtection="1">
      <protection locked="0"/>
    </xf>
    <xf numFmtId="2" fontId="2" fillId="4" borderId="48" xfId="0" applyNumberFormat="1" applyFont="1" applyFill="1" applyBorder="1" applyAlignment="1" applyProtection="1">
      <alignment horizontal="center" vertical="center"/>
      <protection locked="0"/>
    </xf>
    <xf numFmtId="2" fontId="2" fillId="4" borderId="42" xfId="0" applyNumberFormat="1" applyFont="1" applyFill="1" applyBorder="1" applyAlignment="1" applyProtection="1">
      <alignment horizontal="center" vertical="center"/>
      <protection locked="0"/>
    </xf>
    <xf numFmtId="2" fontId="0" fillId="0" borderId="0" xfId="0" applyNumberFormat="1" applyProtection="1">
      <protection locked="0"/>
    </xf>
    <xf numFmtId="0" fontId="17" fillId="4" borderId="47" xfId="0" applyFont="1" applyFill="1" applyBorder="1" applyProtection="1">
      <protection locked="0"/>
    </xf>
    <xf numFmtId="2" fontId="2" fillId="4" borderId="15" xfId="0" applyNumberFormat="1" applyFont="1" applyFill="1" applyBorder="1" applyAlignment="1" applyProtection="1">
      <alignment horizontal="center" vertical="center"/>
      <protection locked="0"/>
    </xf>
    <xf numFmtId="10" fontId="0" fillId="4" borderId="15" xfId="1" quotePrefix="1" applyNumberFormat="1" applyFont="1" applyFill="1" applyBorder="1" applyAlignment="1" applyProtection="1">
      <alignment horizontal="center"/>
      <protection locked="0"/>
    </xf>
    <xf numFmtId="10" fontId="17" fillId="4" borderId="44" xfId="1" quotePrefix="1" applyNumberFormat="1" applyFont="1" applyFill="1" applyBorder="1" applyAlignment="1" applyProtection="1">
      <alignment horizontal="center"/>
      <protection locked="0"/>
    </xf>
    <xf numFmtId="0" fontId="15" fillId="4" borderId="20" xfId="0" applyFont="1" applyFill="1" applyBorder="1" applyProtection="1">
      <protection locked="0"/>
    </xf>
    <xf numFmtId="0" fontId="15" fillId="4" borderId="33" xfId="0" applyFont="1" applyFill="1" applyBorder="1" applyProtection="1">
      <protection locked="0"/>
    </xf>
    <xf numFmtId="2" fontId="2" fillId="4" borderId="20" xfId="0" applyNumberFormat="1" applyFont="1" applyFill="1" applyBorder="1" applyAlignment="1" applyProtection="1">
      <alignment horizontal="center" vertical="center"/>
      <protection locked="0"/>
    </xf>
    <xf numFmtId="2" fontId="2" fillId="4" borderId="31" xfId="0" applyNumberFormat="1" applyFont="1" applyFill="1" applyBorder="1" applyAlignment="1" applyProtection="1">
      <alignment horizontal="center" vertical="center"/>
      <protection locked="0"/>
    </xf>
    <xf numFmtId="2" fontId="2" fillId="4" borderId="33" xfId="0" applyNumberFormat="1" applyFont="1" applyFill="1" applyBorder="1" applyAlignment="1" applyProtection="1">
      <alignment horizontal="center" vertical="center"/>
      <protection locked="0"/>
    </xf>
    <xf numFmtId="10" fontId="2" fillId="4" borderId="33" xfId="1" quotePrefix="1" applyNumberFormat="1" applyFont="1" applyFill="1" applyBorder="1" applyAlignment="1" applyProtection="1">
      <alignment horizontal="center"/>
      <protection locked="0"/>
    </xf>
    <xf numFmtId="10" fontId="17" fillId="4" borderId="21" xfId="1" quotePrefix="1" applyNumberFormat="1" applyFont="1" applyFill="1" applyBorder="1" applyAlignment="1" applyProtection="1">
      <alignment horizontal="center"/>
      <protection locked="0"/>
    </xf>
    <xf numFmtId="4" fontId="2" fillId="4" borderId="20" xfId="0" applyNumberFormat="1" applyFont="1" applyFill="1" applyBorder="1" applyAlignment="1" applyProtection="1">
      <alignment horizontal="center" vertical="center"/>
      <protection locked="0"/>
    </xf>
    <xf numFmtId="10" fontId="0" fillId="4" borderId="33" xfId="1" quotePrefix="1" applyNumberFormat="1" applyFont="1" applyFill="1" applyBorder="1" applyAlignment="1" applyProtection="1">
      <alignment horizontal="center"/>
      <protection locked="0"/>
    </xf>
    <xf numFmtId="0" fontId="2" fillId="0" borderId="17" xfId="0" applyFont="1" applyBorder="1" applyProtection="1">
      <protection hidden="1"/>
    </xf>
    <xf numFmtId="0" fontId="2" fillId="0" borderId="19" xfId="0" applyFont="1" applyBorder="1" applyProtection="1">
      <protection hidden="1"/>
    </xf>
    <xf numFmtId="0" fontId="15" fillId="6" borderId="44" xfId="0" applyFont="1" applyFill="1" applyBorder="1" applyAlignment="1" applyProtection="1">
      <alignment vertical="center"/>
      <protection hidden="1"/>
    </xf>
    <xf numFmtId="0" fontId="2" fillId="7" borderId="31" xfId="0" applyFont="1" applyFill="1" applyBorder="1" applyAlignment="1" applyProtection="1">
      <alignment horizontal="center" textRotation="90" wrapText="1"/>
      <protection hidden="1"/>
    </xf>
    <xf numFmtId="2" fontId="0" fillId="7" borderId="24" xfId="0" quotePrefix="1" applyNumberFormat="1" applyFill="1" applyBorder="1" applyAlignment="1" applyProtection="1">
      <alignment horizontal="center"/>
      <protection hidden="1"/>
    </xf>
    <xf numFmtId="2" fontId="0" fillId="7" borderId="26" xfId="0" quotePrefix="1" applyNumberFormat="1" applyFill="1" applyBorder="1" applyAlignment="1" applyProtection="1">
      <alignment horizontal="center"/>
      <protection hidden="1"/>
    </xf>
    <xf numFmtId="2" fontId="0" fillId="7" borderId="37" xfId="0" quotePrefix="1" applyNumberFormat="1" applyFill="1" applyBorder="1" applyAlignment="1" applyProtection="1">
      <alignment horizontal="center"/>
      <protection hidden="1"/>
    </xf>
    <xf numFmtId="0" fontId="2" fillId="0" borderId="0" xfId="0" applyFont="1" applyAlignment="1" applyProtection="1">
      <alignment textRotation="90"/>
      <protection hidden="1"/>
    </xf>
    <xf numFmtId="0" fontId="2" fillId="0" borderId="22" xfId="0" applyFont="1" applyBorder="1" applyProtection="1">
      <protection hidden="1"/>
    </xf>
    <xf numFmtId="0" fontId="2" fillId="0" borderId="0" xfId="0" applyFont="1" applyProtection="1">
      <protection hidden="1"/>
    </xf>
    <xf numFmtId="0" fontId="2" fillId="6" borderId="44" xfId="0" applyFont="1" applyFill="1" applyBorder="1" applyAlignment="1" applyProtection="1">
      <alignment vertical="center" wrapText="1"/>
      <protection hidden="1"/>
    </xf>
    <xf numFmtId="0" fontId="2" fillId="6" borderId="44" xfId="0" applyFont="1" applyFill="1" applyBorder="1" applyAlignment="1" applyProtection="1">
      <alignment vertical="center"/>
      <protection hidden="1"/>
    </xf>
    <xf numFmtId="2" fontId="0" fillId="2" borderId="34" xfId="0" quotePrefix="1" applyNumberFormat="1" applyFill="1" applyBorder="1" applyAlignment="1" applyProtection="1">
      <alignment horizontal="center"/>
      <protection hidden="1"/>
    </xf>
    <xf numFmtId="2" fontId="0" fillId="2" borderId="39" xfId="0" quotePrefix="1" applyNumberFormat="1" applyFill="1" applyBorder="1" applyAlignment="1" applyProtection="1">
      <alignment horizontal="center"/>
      <protection hidden="1"/>
    </xf>
    <xf numFmtId="2" fontId="0" fillId="2" borderId="28" xfId="0" quotePrefix="1" applyNumberFormat="1" applyFill="1" applyBorder="1" applyAlignment="1" applyProtection="1">
      <alignment horizontal="center"/>
      <protection hidden="1"/>
    </xf>
    <xf numFmtId="2" fontId="0" fillId="2" borderId="38" xfId="0" quotePrefix="1" applyNumberFormat="1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4" fontId="2" fillId="4" borderId="40" xfId="0" applyNumberFormat="1" applyFont="1" applyFill="1" applyBorder="1" applyAlignment="1" applyProtection="1">
      <alignment horizontal="center" vertical="center"/>
      <protection hidden="1"/>
    </xf>
    <xf numFmtId="4" fontId="2" fillId="4" borderId="41" xfId="0" applyNumberFormat="1" applyFont="1" applyFill="1" applyBorder="1" applyAlignment="1" applyProtection="1">
      <alignment horizontal="center" vertical="center"/>
      <protection hidden="1"/>
    </xf>
    <xf numFmtId="2" fontId="2" fillId="4" borderId="43" xfId="0" applyNumberFormat="1" applyFont="1" applyFill="1" applyBorder="1" applyAlignment="1" applyProtection="1">
      <alignment horizontal="center" vertical="center"/>
      <protection hidden="1"/>
    </xf>
    <xf numFmtId="2" fontId="2" fillId="4" borderId="41" xfId="0" applyNumberFormat="1" applyFont="1" applyFill="1" applyBorder="1" applyAlignment="1" applyProtection="1">
      <alignment horizontal="center" vertical="center"/>
      <protection hidden="1"/>
    </xf>
    <xf numFmtId="2" fontId="2" fillId="0" borderId="0" xfId="0" quotePrefix="1" applyNumberFormat="1" applyFont="1" applyAlignment="1" applyProtection="1">
      <alignment horizontal="center"/>
      <protection hidden="1"/>
    </xf>
    <xf numFmtId="0" fontId="15" fillId="4" borderId="48" xfId="0" applyFont="1" applyFill="1" applyBorder="1" applyProtection="1">
      <protection hidden="1"/>
    </xf>
    <xf numFmtId="0" fontId="15" fillId="4" borderId="15" xfId="0" applyFont="1" applyFill="1" applyBorder="1" applyProtection="1">
      <protection hidden="1"/>
    </xf>
    <xf numFmtId="2" fontId="2" fillId="4" borderId="48" xfId="0" applyNumberFormat="1" applyFont="1" applyFill="1" applyBorder="1" applyAlignment="1" applyProtection="1">
      <alignment horizontal="center" vertical="center"/>
      <protection hidden="1"/>
    </xf>
    <xf numFmtId="2" fontId="2" fillId="4" borderId="42" xfId="0" applyNumberFormat="1" applyFont="1" applyFill="1" applyBorder="1" applyAlignment="1" applyProtection="1">
      <alignment horizontal="center" vertical="center"/>
      <protection hidden="1"/>
    </xf>
    <xf numFmtId="2" fontId="0" fillId="0" borderId="0" xfId="0" applyNumberFormat="1" applyProtection="1">
      <protection hidden="1"/>
    </xf>
    <xf numFmtId="0" fontId="2" fillId="4" borderId="30" xfId="0" applyFont="1" applyFill="1" applyBorder="1" applyProtection="1">
      <protection hidden="1"/>
    </xf>
    <xf numFmtId="0" fontId="17" fillId="4" borderId="47" xfId="0" applyFont="1" applyFill="1" applyBorder="1" applyProtection="1">
      <protection hidden="1"/>
    </xf>
    <xf numFmtId="2" fontId="2" fillId="4" borderId="15" xfId="0" applyNumberFormat="1" applyFont="1" applyFill="1" applyBorder="1" applyAlignment="1" applyProtection="1">
      <alignment horizontal="center" vertical="center"/>
      <protection hidden="1"/>
    </xf>
    <xf numFmtId="10" fontId="0" fillId="4" borderId="15" xfId="1" quotePrefix="1" applyNumberFormat="1" applyFont="1" applyFill="1" applyBorder="1" applyAlignment="1" applyProtection="1">
      <alignment horizontal="center"/>
      <protection hidden="1"/>
    </xf>
    <xf numFmtId="10" fontId="17" fillId="4" borderId="44" xfId="1" quotePrefix="1" applyNumberFormat="1" applyFont="1" applyFill="1" applyBorder="1" applyAlignment="1" applyProtection="1">
      <alignment horizontal="center"/>
      <protection hidden="1"/>
    </xf>
    <xf numFmtId="4" fontId="2" fillId="4" borderId="30" xfId="0" applyNumberFormat="1" applyFont="1" applyFill="1" applyBorder="1" applyAlignment="1" applyProtection="1">
      <alignment horizontal="center" vertical="center"/>
      <protection hidden="1"/>
    </xf>
    <xf numFmtId="4" fontId="2" fillId="4" borderId="45" xfId="0" applyNumberFormat="1" applyFont="1" applyFill="1" applyBorder="1" applyAlignment="1" applyProtection="1">
      <alignment horizontal="center" vertical="center"/>
      <protection hidden="1"/>
    </xf>
    <xf numFmtId="2" fontId="2" fillId="4" borderId="46" xfId="0" applyNumberFormat="1" applyFont="1" applyFill="1" applyBorder="1" applyAlignment="1" applyProtection="1">
      <alignment horizontal="center" vertical="center"/>
      <protection hidden="1"/>
    </xf>
    <xf numFmtId="2" fontId="2" fillId="4" borderId="45" xfId="0" applyNumberFormat="1" applyFont="1" applyFill="1" applyBorder="1" applyAlignment="1" applyProtection="1">
      <alignment horizontal="center" vertical="center"/>
      <protection hidden="1"/>
    </xf>
    <xf numFmtId="0" fontId="15" fillId="4" borderId="20" xfId="0" applyFont="1" applyFill="1" applyBorder="1" applyProtection="1">
      <protection hidden="1"/>
    </xf>
    <xf numFmtId="0" fontId="15" fillId="4" borderId="33" xfId="0" applyFont="1" applyFill="1" applyBorder="1" applyProtection="1">
      <protection hidden="1"/>
    </xf>
    <xf numFmtId="2" fontId="2" fillId="4" borderId="20" xfId="0" applyNumberFormat="1" applyFont="1" applyFill="1" applyBorder="1" applyAlignment="1" applyProtection="1">
      <alignment horizontal="center" vertical="center"/>
      <protection hidden="1"/>
    </xf>
    <xf numFmtId="2" fontId="2" fillId="4" borderId="31" xfId="0" applyNumberFormat="1" applyFont="1" applyFill="1" applyBorder="1" applyAlignment="1" applyProtection="1">
      <alignment horizontal="center" vertical="center"/>
      <protection hidden="1"/>
    </xf>
    <xf numFmtId="2" fontId="2" fillId="4" borderId="33" xfId="0" applyNumberFormat="1" applyFont="1" applyFill="1" applyBorder="1" applyAlignment="1" applyProtection="1">
      <alignment horizontal="center" vertical="center"/>
      <protection hidden="1"/>
    </xf>
    <xf numFmtId="10" fontId="2" fillId="4" borderId="33" xfId="1" quotePrefix="1" applyNumberFormat="1" applyFont="1" applyFill="1" applyBorder="1" applyAlignment="1" applyProtection="1">
      <alignment horizontal="center"/>
      <protection hidden="1"/>
    </xf>
    <xf numFmtId="10" fontId="17" fillId="4" borderId="21" xfId="1" quotePrefix="1" applyNumberFormat="1" applyFont="1" applyFill="1" applyBorder="1" applyAlignment="1" applyProtection="1">
      <alignment horizontal="center"/>
      <protection hidden="1"/>
    </xf>
    <xf numFmtId="4" fontId="2" fillId="4" borderId="20" xfId="0" applyNumberFormat="1" applyFont="1" applyFill="1" applyBorder="1" applyAlignment="1" applyProtection="1">
      <alignment horizontal="center" vertical="center"/>
      <protection hidden="1"/>
    </xf>
    <xf numFmtId="10" fontId="0" fillId="4" borderId="33" xfId="1" quotePrefix="1" applyNumberFormat="1" applyFont="1" applyFill="1" applyBorder="1" applyAlignment="1" applyProtection="1">
      <alignment horizont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horizontal="center"/>
      <protection hidden="1"/>
    </xf>
    <xf numFmtId="0" fontId="0" fillId="0" borderId="0" xfId="0" applyAlignment="1" applyProtection="1">
      <alignment textRotation="90"/>
      <protection hidden="1"/>
    </xf>
    <xf numFmtId="0" fontId="13" fillId="0" borderId="0" xfId="0" applyFont="1" applyProtection="1">
      <protection hidden="1"/>
    </xf>
    <xf numFmtId="0" fontId="10" fillId="0" borderId="0" xfId="0" applyFont="1" applyProtection="1">
      <protection hidden="1"/>
    </xf>
    <xf numFmtId="0" fontId="10" fillId="0" borderId="1" xfId="0" applyFont="1" applyBorder="1" applyProtection="1">
      <protection hidden="1"/>
    </xf>
    <xf numFmtId="2" fontId="0" fillId="7" borderId="1" xfId="0" quotePrefix="1" applyNumberFormat="1" applyFill="1" applyBorder="1" applyAlignment="1" applyProtection="1">
      <alignment horizontal="center"/>
      <protection hidden="1"/>
    </xf>
    <xf numFmtId="2" fontId="0" fillId="2" borderId="1" xfId="0" quotePrefix="1" applyNumberFormat="1" applyFill="1" applyBorder="1" applyAlignment="1" applyProtection="1">
      <alignment horizontal="center"/>
      <protection hidden="1"/>
    </xf>
    <xf numFmtId="4" fontId="2" fillId="4" borderId="1" xfId="0" applyNumberFormat="1" applyFont="1" applyFill="1" applyBorder="1" applyAlignment="1" applyProtection="1">
      <alignment horizontal="center" vertical="center"/>
      <protection hidden="1"/>
    </xf>
    <xf numFmtId="2" fontId="0" fillId="8" borderId="1" xfId="0" quotePrefix="1" applyNumberFormat="1" applyFill="1" applyBorder="1" applyAlignment="1" applyProtection="1">
      <alignment horizontal="center"/>
      <protection hidden="1"/>
    </xf>
    <xf numFmtId="2" fontId="0" fillId="5" borderId="1" xfId="0" quotePrefix="1" applyNumberFormat="1" applyFill="1" applyBorder="1" applyAlignment="1" applyProtection="1">
      <alignment horizontal="center"/>
      <protection hidden="1"/>
    </xf>
    <xf numFmtId="2" fontId="0" fillId="0" borderId="0" xfId="0" quotePrefix="1" applyNumberFormat="1" applyAlignment="1" applyProtection="1">
      <alignment horizontal="center"/>
      <protection hidden="1"/>
    </xf>
    <xf numFmtId="0" fontId="16" fillId="3" borderId="50" xfId="0" applyFont="1" applyFill="1" applyBorder="1" applyAlignment="1" applyProtection="1">
      <alignment horizontal="center"/>
      <protection hidden="1"/>
    </xf>
    <xf numFmtId="0" fontId="16" fillId="3" borderId="34" xfId="0" quotePrefix="1" applyFont="1" applyFill="1" applyBorder="1" applyAlignment="1" applyProtection="1">
      <alignment horizontal="center"/>
      <protection hidden="1"/>
    </xf>
    <xf numFmtId="2" fontId="0" fillId="8" borderId="39" xfId="0" quotePrefix="1" applyNumberFormat="1" applyFill="1" applyBorder="1" applyAlignment="1" applyProtection="1">
      <alignment horizontal="center"/>
      <protection hidden="1"/>
    </xf>
    <xf numFmtId="0" fontId="0" fillId="3" borderId="3" xfId="0" applyFill="1" applyBorder="1" applyAlignment="1" applyProtection="1">
      <alignment horizontal="center"/>
      <protection hidden="1"/>
    </xf>
    <xf numFmtId="0" fontId="0" fillId="3" borderId="3" xfId="0" quotePrefix="1" applyFill="1" applyBorder="1" applyAlignment="1" applyProtection="1">
      <alignment horizontal="center"/>
      <protection hidden="1"/>
    </xf>
    <xf numFmtId="2" fontId="0" fillId="5" borderId="3" xfId="0" quotePrefix="1" applyNumberFormat="1" applyFill="1" applyBorder="1" applyAlignment="1" applyProtection="1">
      <alignment horizontal="center"/>
      <protection hidden="1"/>
    </xf>
    <xf numFmtId="10" fontId="0" fillId="5" borderId="3" xfId="1" quotePrefix="1" applyNumberFormat="1" applyFont="1" applyFill="1" applyBorder="1" applyAlignment="1" applyProtection="1">
      <alignment horizontal="center"/>
      <protection hidden="1"/>
    </xf>
    <xf numFmtId="0" fontId="16" fillId="3" borderId="27" xfId="0" applyFont="1" applyFill="1" applyBorder="1" applyAlignment="1" applyProtection="1">
      <alignment horizontal="center"/>
      <protection hidden="1"/>
    </xf>
    <xf numFmtId="0" fontId="16" fillId="3" borderId="29" xfId="0" quotePrefix="1" applyFont="1" applyFill="1" applyBorder="1" applyAlignment="1" applyProtection="1">
      <alignment horizontal="center"/>
      <protection hidden="1"/>
    </xf>
    <xf numFmtId="0" fontId="0" fillId="3" borderId="1" xfId="0" applyFill="1" applyBorder="1" applyAlignment="1" applyProtection="1">
      <alignment horizontal="center"/>
      <protection hidden="1"/>
    </xf>
    <xf numFmtId="0" fontId="0" fillId="3" borderId="1" xfId="0" quotePrefix="1" applyFill="1" applyBorder="1" applyAlignment="1" applyProtection="1">
      <alignment horizontal="center"/>
      <protection hidden="1"/>
    </xf>
    <xf numFmtId="0" fontId="16" fillId="3" borderId="51" xfId="0" applyFont="1" applyFill="1" applyBorder="1" applyAlignment="1" applyProtection="1">
      <alignment horizontal="center"/>
      <protection hidden="1"/>
    </xf>
    <xf numFmtId="0" fontId="16" fillId="3" borderId="35" xfId="0" quotePrefix="1" applyFont="1" applyFill="1" applyBorder="1" applyAlignment="1" applyProtection="1">
      <alignment horizontal="center"/>
      <protection hidden="1"/>
    </xf>
    <xf numFmtId="2" fontId="0" fillId="5" borderId="10" xfId="0" quotePrefix="1" applyNumberFormat="1" applyFill="1" applyBorder="1" applyAlignment="1" applyProtection="1">
      <alignment horizontal="center"/>
      <protection hidden="1"/>
    </xf>
    <xf numFmtId="10" fontId="0" fillId="5" borderId="10" xfId="1" quotePrefix="1" applyNumberFormat="1" applyFont="1" applyFill="1" applyBorder="1" applyAlignment="1" applyProtection="1">
      <alignment horizontal="center"/>
      <protection hidden="1"/>
    </xf>
    <xf numFmtId="0" fontId="0" fillId="3" borderId="34" xfId="0" applyFill="1" applyBorder="1" applyAlignment="1" applyProtection="1">
      <alignment horizontal="center"/>
      <protection hidden="1"/>
    </xf>
    <xf numFmtId="0" fontId="0" fillId="3" borderId="34" xfId="0" quotePrefix="1" applyFill="1" applyBorder="1" applyAlignment="1" applyProtection="1">
      <alignment horizontal="center"/>
      <protection hidden="1"/>
    </xf>
    <xf numFmtId="0" fontId="0" fillId="3" borderId="29" xfId="0" applyFill="1" applyBorder="1" applyAlignment="1" applyProtection="1">
      <alignment horizontal="center"/>
      <protection hidden="1"/>
    </xf>
    <xf numFmtId="0" fontId="0" fillId="3" borderId="29" xfId="0" quotePrefix="1" applyFill="1" applyBorder="1" applyAlignment="1" applyProtection="1">
      <alignment horizontal="center"/>
      <protection hidden="1"/>
    </xf>
    <xf numFmtId="0" fontId="0" fillId="3" borderId="35" xfId="0" applyFill="1" applyBorder="1" applyAlignment="1" applyProtection="1">
      <alignment horizontal="center"/>
      <protection hidden="1"/>
    </xf>
    <xf numFmtId="0" fontId="0" fillId="3" borderId="35" xfId="0" quotePrefix="1" applyFill="1" applyBorder="1" applyAlignment="1" applyProtection="1">
      <alignment horizontal="center"/>
      <protection hidden="1"/>
    </xf>
    <xf numFmtId="0" fontId="2" fillId="0" borderId="16" xfId="0" applyFont="1" applyBorder="1" applyProtection="1">
      <protection hidden="1"/>
    </xf>
    <xf numFmtId="0" fontId="2" fillId="8" borderId="16" xfId="0" applyFont="1" applyFill="1" applyBorder="1" applyProtection="1">
      <protection hidden="1"/>
    </xf>
    <xf numFmtId="0" fontId="2" fillId="8" borderId="22" xfId="0" applyFont="1" applyFill="1" applyBorder="1" applyProtection="1">
      <protection hidden="1"/>
    </xf>
    <xf numFmtId="0" fontId="2" fillId="8" borderId="17" xfId="0" applyFont="1" applyFill="1" applyBorder="1" applyProtection="1">
      <protection hidden="1"/>
    </xf>
    <xf numFmtId="0" fontId="2" fillId="5" borderId="51" xfId="0" applyFont="1" applyFill="1" applyBorder="1" applyProtection="1">
      <protection hidden="1"/>
    </xf>
    <xf numFmtId="0" fontId="2" fillId="5" borderId="14" xfId="0" applyFont="1" applyFill="1" applyBorder="1" applyProtection="1">
      <protection hidden="1"/>
    </xf>
    <xf numFmtId="0" fontId="0" fillId="0" borderId="18" xfId="0" applyBorder="1" applyProtection="1">
      <protection hidden="1"/>
    </xf>
    <xf numFmtId="0" fontId="2" fillId="8" borderId="18" xfId="0" applyFont="1" applyFill="1" applyBorder="1" applyProtection="1">
      <protection hidden="1"/>
    </xf>
    <xf numFmtId="0" fontId="2" fillId="8" borderId="0" xfId="0" applyFont="1" applyFill="1" applyProtection="1">
      <protection hidden="1"/>
    </xf>
    <xf numFmtId="0" fontId="0" fillId="8" borderId="0" xfId="0" applyFill="1" applyProtection="1">
      <protection hidden="1"/>
    </xf>
    <xf numFmtId="0" fontId="0" fillId="8" borderId="19" xfId="0" applyFill="1" applyBorder="1" applyProtection="1">
      <protection hidden="1"/>
    </xf>
    <xf numFmtId="0" fontId="2" fillId="5" borderId="18" xfId="0" applyFont="1" applyFill="1" applyBorder="1" applyProtection="1">
      <protection hidden="1"/>
    </xf>
    <xf numFmtId="0" fontId="2" fillId="5" borderId="0" xfId="0" applyFont="1" applyFill="1" applyProtection="1">
      <protection hidden="1"/>
    </xf>
    <xf numFmtId="0" fontId="0" fillId="5" borderId="0" xfId="0" applyFill="1" applyProtection="1">
      <protection hidden="1"/>
    </xf>
    <xf numFmtId="0" fontId="2" fillId="0" borderId="18" xfId="0" applyFont="1" applyBorder="1" applyProtection="1">
      <protection hidden="1"/>
    </xf>
    <xf numFmtId="0" fontId="0" fillId="8" borderId="18" xfId="0" applyFill="1" applyBorder="1" applyProtection="1">
      <protection hidden="1"/>
    </xf>
    <xf numFmtId="0" fontId="2" fillId="8" borderId="19" xfId="0" applyFont="1" applyFill="1" applyBorder="1" applyProtection="1">
      <protection hidden="1"/>
    </xf>
    <xf numFmtId="0" fontId="2" fillId="5" borderId="50" xfId="0" applyFont="1" applyFill="1" applyBorder="1" applyAlignment="1" applyProtection="1">
      <alignment horizontal="left" vertical="center"/>
      <protection hidden="1"/>
    </xf>
    <xf numFmtId="0" fontId="2" fillId="5" borderId="4" xfId="0" applyFont="1" applyFill="1" applyBorder="1" applyAlignment="1" applyProtection="1">
      <alignment horizontal="left" vertical="center"/>
      <protection hidden="1"/>
    </xf>
    <xf numFmtId="0" fontId="2" fillId="5" borderId="4" xfId="0" applyFont="1" applyFill="1" applyBorder="1" applyProtection="1">
      <protection hidden="1"/>
    </xf>
    <xf numFmtId="0" fontId="2" fillId="8" borderId="18" xfId="0" applyFont="1" applyFill="1" applyBorder="1" applyAlignment="1" applyProtection="1">
      <alignment horizontal="left" vertical="center"/>
      <protection hidden="1"/>
    </xf>
    <xf numFmtId="0" fontId="2" fillId="8" borderId="0" xfId="0" applyFont="1" applyFill="1" applyAlignment="1" applyProtection="1">
      <alignment horizontal="left" vertical="center"/>
      <protection hidden="1"/>
    </xf>
    <xf numFmtId="0" fontId="2" fillId="6" borderId="53" xfId="0" applyFont="1" applyFill="1" applyBorder="1" applyAlignment="1" applyProtection="1">
      <alignment horizontal="center" textRotation="90" wrapText="1"/>
      <protection hidden="1"/>
    </xf>
    <xf numFmtId="0" fontId="2" fillId="6" borderId="45" xfId="0" applyFont="1" applyFill="1" applyBorder="1" applyAlignment="1" applyProtection="1">
      <alignment horizontal="center" textRotation="90" wrapText="1"/>
      <protection hidden="1"/>
    </xf>
    <xf numFmtId="0" fontId="2" fillId="6" borderId="46" xfId="0" applyFont="1" applyFill="1" applyBorder="1" applyAlignment="1" applyProtection="1">
      <alignment horizontal="center" textRotation="90" wrapText="1"/>
      <protection hidden="1"/>
    </xf>
    <xf numFmtId="0" fontId="2" fillId="0" borderId="0" xfId="0" applyFont="1" applyAlignment="1" applyProtection="1">
      <alignment horizontal="center" textRotation="90" wrapText="1"/>
      <protection hidden="1"/>
    </xf>
    <xf numFmtId="0" fontId="15" fillId="3" borderId="48" xfId="0" applyFont="1" applyFill="1" applyBorder="1" applyAlignment="1" applyProtection="1">
      <alignment horizontal="center" vertical="center" textRotation="90" wrapText="1"/>
      <protection hidden="1"/>
    </xf>
    <xf numFmtId="0" fontId="15" fillId="3" borderId="15" xfId="0" applyFont="1" applyFill="1" applyBorder="1" applyAlignment="1" applyProtection="1">
      <alignment horizontal="center" vertical="center" textRotation="90" wrapText="1"/>
      <protection hidden="1"/>
    </xf>
    <xf numFmtId="0" fontId="2" fillId="8" borderId="44" xfId="0" applyFont="1" applyFill="1" applyBorder="1" applyAlignment="1" applyProtection="1">
      <alignment horizontal="center" vertical="center" textRotation="90" wrapText="1"/>
      <protection hidden="1"/>
    </xf>
    <xf numFmtId="0" fontId="2" fillId="3" borderId="1" xfId="0" applyFont="1" applyFill="1" applyBorder="1" applyAlignment="1" applyProtection="1">
      <alignment horizontal="center" vertical="center" textRotation="90" wrapText="1"/>
      <protection hidden="1"/>
    </xf>
    <xf numFmtId="0" fontId="2" fillId="5" borderId="1" xfId="0" applyFont="1" applyFill="1" applyBorder="1" applyAlignment="1" applyProtection="1">
      <alignment horizontal="center" vertical="center" textRotation="90" wrapText="1"/>
      <protection hidden="1"/>
    </xf>
    <xf numFmtId="0" fontId="0" fillId="0" borderId="0" xfId="0" applyAlignment="1" applyProtection="1">
      <alignment wrapText="1"/>
      <protection hidden="1"/>
    </xf>
    <xf numFmtId="0" fontId="10" fillId="0" borderId="0" xfId="0" applyFont="1" applyProtection="1">
      <protection locked="0" hidden="1"/>
    </xf>
    <xf numFmtId="0" fontId="3" fillId="0" borderId="0" xfId="0" applyFont="1" applyProtection="1">
      <protection locked="0" hidden="1"/>
    </xf>
    <xf numFmtId="0" fontId="6" fillId="0" borderId="0" xfId="0" applyFont="1" applyProtection="1">
      <protection locked="0" hidden="1"/>
    </xf>
    <xf numFmtId="0" fontId="6" fillId="0" borderId="0" xfId="0" applyFont="1" applyAlignment="1" applyProtection="1">
      <alignment horizontal="left"/>
      <protection locked="0" hidden="1"/>
    </xf>
    <xf numFmtId="0" fontId="9" fillId="0" borderId="0" xfId="0" applyFont="1" applyProtection="1">
      <protection locked="0" hidden="1"/>
    </xf>
    <xf numFmtId="0" fontId="3" fillId="0" borderId="0" xfId="0" applyFont="1" applyProtection="1">
      <protection hidden="1"/>
    </xf>
    <xf numFmtId="0" fontId="9" fillId="0" borderId="0" xfId="0" applyFont="1" applyProtection="1">
      <protection hidden="1"/>
    </xf>
    <xf numFmtId="0" fontId="3" fillId="0" borderId="0" xfId="0" applyFont="1" applyAlignment="1" applyProtection="1">
      <alignment horizontal="center" vertical="center"/>
      <protection hidden="1"/>
    </xf>
    <xf numFmtId="0" fontId="3" fillId="0" borderId="0" xfId="0" applyFont="1" applyAlignment="1" applyProtection="1">
      <alignment vertical="center"/>
      <protection hidden="1"/>
    </xf>
    <xf numFmtId="0" fontId="8" fillId="0" borderId="0" xfId="0" applyFont="1" applyProtection="1">
      <protection hidden="1"/>
    </xf>
    <xf numFmtId="0" fontId="7" fillId="0" borderId="0" xfId="0" applyFont="1" applyProtection="1">
      <protection hidden="1"/>
    </xf>
    <xf numFmtId="0" fontId="9" fillId="0" borderId="0" xfId="0" applyFont="1" applyAlignment="1" applyProtection="1">
      <alignment wrapText="1"/>
      <protection hidden="1"/>
    </xf>
    <xf numFmtId="0" fontId="8" fillId="0" borderId="0" xfId="0" applyFont="1" applyAlignment="1" applyProtection="1">
      <alignment vertical="center"/>
      <protection hidden="1"/>
    </xf>
    <xf numFmtId="0" fontId="7" fillId="0" borderId="0" xfId="0" applyFont="1" applyAlignment="1" applyProtection="1">
      <alignment vertical="center"/>
      <protection hidden="1"/>
    </xf>
    <xf numFmtId="0" fontId="8" fillId="0" borderId="0" xfId="0" applyFont="1" applyAlignment="1" applyProtection="1">
      <alignment horizontal="center" vertical="center"/>
      <protection hidden="1"/>
    </xf>
    <xf numFmtId="0" fontId="8" fillId="0" borderId="0" xfId="0" applyFont="1" applyAlignment="1" applyProtection="1">
      <alignment horizontal="right" vertical="center"/>
      <protection hidden="1"/>
    </xf>
    <xf numFmtId="0" fontId="5" fillId="0" borderId="0" xfId="0" applyFont="1" applyProtection="1">
      <protection locked="0" hidden="1"/>
    </xf>
    <xf numFmtId="0" fontId="11" fillId="0" borderId="0" xfId="0" applyFont="1" applyAlignment="1" applyProtection="1">
      <alignment vertical="center"/>
      <protection hidden="1"/>
    </xf>
    <xf numFmtId="0" fontId="9" fillId="0" borderId="0" xfId="0" applyFont="1" applyAlignment="1" applyProtection="1">
      <alignment vertical="center"/>
      <protection hidden="1"/>
    </xf>
    <xf numFmtId="0" fontId="10" fillId="0" borderId="0" xfId="0" applyFont="1" applyAlignment="1" applyProtection="1">
      <alignment wrapText="1"/>
      <protection hidden="1"/>
    </xf>
    <xf numFmtId="0" fontId="13" fillId="0" borderId="0" xfId="0" applyFont="1" applyAlignment="1" applyProtection="1">
      <alignment horizontal="center" vertical="center"/>
      <protection hidden="1"/>
    </xf>
    <xf numFmtId="2" fontId="10" fillId="0" borderId="0" xfId="0" quotePrefix="1" applyNumberFormat="1" applyFont="1" applyAlignment="1" applyProtection="1">
      <alignment horizontal="center"/>
      <protection hidden="1"/>
    </xf>
    <xf numFmtId="2" fontId="13" fillId="0" borderId="0" xfId="0" applyNumberFormat="1" applyFont="1" applyAlignment="1" applyProtection="1">
      <alignment horizontal="center" vertical="center"/>
      <protection hidden="1"/>
    </xf>
    <xf numFmtId="4" fontId="10" fillId="0" borderId="0" xfId="0" applyNumberFormat="1" applyFont="1" applyAlignment="1" applyProtection="1">
      <alignment horizontal="center" vertical="center"/>
      <protection hidden="1"/>
    </xf>
    <xf numFmtId="0" fontId="5" fillId="0" borderId="0" xfId="0" applyFont="1" applyProtection="1">
      <protection hidden="1"/>
    </xf>
    <xf numFmtId="0" fontId="4" fillId="0" borderId="0" xfId="0" applyFont="1" applyProtection="1">
      <protection hidden="1"/>
    </xf>
    <xf numFmtId="0" fontId="8" fillId="0" borderId="0" xfId="0" applyFont="1" applyAlignment="1" applyProtection="1">
      <alignment horizontal="left" vertical="center"/>
      <protection hidden="1"/>
    </xf>
    <xf numFmtId="2" fontId="2" fillId="7" borderId="42" xfId="0" quotePrefix="1" applyNumberFormat="1" applyFont="1" applyFill="1" applyBorder="1" applyAlignment="1" applyProtection="1">
      <alignment horizontal="center" vertical="center"/>
      <protection hidden="1"/>
    </xf>
    <xf numFmtId="2" fontId="2" fillId="2" borderId="42" xfId="0" quotePrefix="1" applyNumberFormat="1" applyFont="1" applyFill="1" applyBorder="1" applyAlignment="1" applyProtection="1">
      <alignment horizontal="center" vertical="center"/>
      <protection hidden="1"/>
    </xf>
    <xf numFmtId="2" fontId="2" fillId="2" borderId="44" xfId="0" quotePrefix="1" applyNumberFormat="1" applyFont="1" applyFill="1" applyBorder="1" applyAlignment="1" applyProtection="1">
      <alignment horizontal="center" vertical="center"/>
      <protection hidden="1"/>
    </xf>
    <xf numFmtId="2" fontId="2" fillId="7" borderId="31" xfId="0" quotePrefix="1" applyNumberFormat="1" applyFont="1" applyFill="1" applyBorder="1" applyAlignment="1" applyProtection="1">
      <alignment horizontal="center" vertical="center"/>
      <protection hidden="1"/>
    </xf>
    <xf numFmtId="2" fontId="2" fillId="2" borderId="31" xfId="0" quotePrefix="1" applyNumberFormat="1" applyFont="1" applyFill="1" applyBorder="1" applyAlignment="1" applyProtection="1">
      <alignment horizontal="center" vertical="center"/>
      <protection hidden="1"/>
    </xf>
    <xf numFmtId="2" fontId="2" fillId="2" borderId="21" xfId="0" quotePrefix="1" applyNumberFormat="1" applyFont="1" applyFill="1" applyBorder="1" applyAlignment="1" applyProtection="1">
      <alignment horizontal="center" vertical="center"/>
      <protection hidden="1"/>
    </xf>
    <xf numFmtId="2" fontId="2" fillId="2" borderId="21" xfId="0" quotePrefix="1" applyNumberFormat="1" applyFont="1" applyFill="1" applyBorder="1" applyAlignment="1" applyProtection="1">
      <alignment horizontal="center" vertical="center" wrapText="1"/>
      <protection hidden="1"/>
    </xf>
    <xf numFmtId="0" fontId="2" fillId="0" borderId="0" xfId="0" applyFont="1" applyAlignment="1" applyProtection="1">
      <alignment vertical="center"/>
      <protection hidden="1"/>
    </xf>
    <xf numFmtId="0" fontId="2" fillId="0" borderId="0" xfId="0" applyFont="1" applyAlignment="1" applyProtection="1">
      <alignment horizontal="left" vertical="center"/>
      <protection hidden="1"/>
    </xf>
    <xf numFmtId="4" fontId="10" fillId="9" borderId="1" xfId="0" applyNumberFormat="1" applyFont="1" applyFill="1" applyBorder="1" applyAlignment="1" applyProtection="1">
      <alignment horizontal="center" vertical="center"/>
      <protection hidden="1"/>
    </xf>
    <xf numFmtId="4" fontId="10" fillId="9" borderId="6" xfId="0" quotePrefix="1" applyNumberFormat="1" applyFont="1" applyFill="1" applyBorder="1" applyAlignment="1" applyProtection="1">
      <alignment horizontal="center" vertical="center"/>
      <protection hidden="1"/>
    </xf>
    <xf numFmtId="4" fontId="10" fillId="9" borderId="1" xfId="0" quotePrefix="1" applyNumberFormat="1" applyFont="1" applyFill="1" applyBorder="1" applyAlignment="1" applyProtection="1">
      <alignment horizontal="center" vertical="center"/>
      <protection hidden="1"/>
    </xf>
    <xf numFmtId="0" fontId="6" fillId="9" borderId="3" xfId="0" applyFont="1" applyFill="1" applyBorder="1" applyAlignment="1" applyProtection="1">
      <alignment horizontal="center" textRotation="90" wrapText="1"/>
      <protection hidden="1"/>
    </xf>
    <xf numFmtId="0" fontId="6" fillId="10" borderId="3" xfId="0" applyFont="1" applyFill="1" applyBorder="1" applyAlignment="1" applyProtection="1">
      <alignment horizontal="center" textRotation="90" wrapText="1"/>
      <protection hidden="1"/>
    </xf>
    <xf numFmtId="4" fontId="10" fillId="10" borderId="1" xfId="0" quotePrefix="1" applyNumberFormat="1" applyFont="1" applyFill="1" applyBorder="1" applyAlignment="1" applyProtection="1">
      <alignment horizontal="center" vertical="center"/>
      <protection hidden="1"/>
    </xf>
    <xf numFmtId="10" fontId="10" fillId="10" borderId="1" xfId="0" quotePrefix="1" applyNumberFormat="1" applyFont="1" applyFill="1" applyBorder="1" applyAlignment="1" applyProtection="1">
      <alignment horizontal="center" vertical="center"/>
      <protection hidden="1"/>
    </xf>
    <xf numFmtId="0" fontId="6" fillId="10" borderId="12" xfId="0" applyFont="1" applyFill="1" applyBorder="1" applyAlignment="1" applyProtection="1">
      <alignment horizontal="center" textRotation="90" wrapText="1"/>
      <protection hidden="1"/>
    </xf>
    <xf numFmtId="0" fontId="10" fillId="11" borderId="1" xfId="0" applyFont="1" applyFill="1" applyBorder="1" applyAlignment="1" applyProtection="1">
      <alignment horizontal="center" vertical="center"/>
      <protection hidden="1"/>
    </xf>
    <xf numFmtId="4" fontId="13" fillId="11" borderId="1" xfId="0" applyNumberFormat="1" applyFont="1" applyFill="1" applyBorder="1" applyAlignment="1" applyProtection="1">
      <alignment horizontal="center" vertical="center"/>
      <protection hidden="1"/>
    </xf>
    <xf numFmtId="2" fontId="13" fillId="11" borderId="1" xfId="0" applyNumberFormat="1" applyFont="1" applyFill="1" applyBorder="1" applyAlignment="1" applyProtection="1">
      <alignment horizontal="center" vertical="center"/>
      <protection hidden="1"/>
    </xf>
    <xf numFmtId="10" fontId="13" fillId="11" borderId="1" xfId="0" quotePrefix="1" applyNumberFormat="1" applyFont="1" applyFill="1" applyBorder="1" applyAlignment="1" applyProtection="1">
      <alignment horizontal="center" vertical="center"/>
      <protection hidden="1"/>
    </xf>
    <xf numFmtId="0" fontId="6" fillId="11" borderId="1" xfId="0" applyFont="1" applyFill="1" applyBorder="1" applyAlignment="1" applyProtection="1">
      <alignment horizontal="center" vertical="center" wrapText="1"/>
      <protection hidden="1"/>
    </xf>
    <xf numFmtId="0" fontId="5" fillId="11" borderId="1" xfId="0" applyFont="1" applyFill="1" applyBorder="1" applyProtection="1">
      <protection hidden="1"/>
    </xf>
    <xf numFmtId="2" fontId="6" fillId="11" borderId="1" xfId="0" applyNumberFormat="1" applyFont="1" applyFill="1" applyBorder="1" applyAlignment="1" applyProtection="1">
      <alignment horizontal="center" vertical="center"/>
      <protection hidden="1"/>
    </xf>
    <xf numFmtId="0" fontId="12" fillId="9" borderId="1" xfId="0" applyFont="1" applyFill="1" applyBorder="1" applyAlignment="1" applyProtection="1">
      <alignment horizontal="center" vertical="center" textRotation="90" wrapText="1"/>
      <protection hidden="1"/>
    </xf>
    <xf numFmtId="4" fontId="6" fillId="10" borderId="1" xfId="0" applyNumberFormat="1" applyFont="1" applyFill="1" applyBorder="1" applyAlignment="1" applyProtection="1">
      <alignment horizontal="center" vertical="center"/>
      <protection hidden="1"/>
    </xf>
    <xf numFmtId="0" fontId="12" fillId="10" borderId="1" xfId="0" applyFont="1" applyFill="1" applyBorder="1" applyAlignment="1" applyProtection="1">
      <alignment horizontal="center" vertical="center" textRotation="90" wrapText="1"/>
      <protection hidden="1"/>
    </xf>
    <xf numFmtId="4" fontId="13" fillId="10" borderId="1" xfId="0" applyNumberFormat="1" applyFont="1" applyFill="1" applyBorder="1" applyAlignment="1" applyProtection="1">
      <alignment horizontal="center" vertical="center"/>
      <protection hidden="1"/>
    </xf>
    <xf numFmtId="4" fontId="10" fillId="2" borderId="1" xfId="0" applyNumberFormat="1" applyFont="1" applyFill="1" applyBorder="1" applyAlignment="1" applyProtection="1">
      <alignment horizontal="center" vertical="center"/>
      <protection hidden="1"/>
    </xf>
    <xf numFmtId="0" fontId="13" fillId="2" borderId="1" xfId="0" applyFont="1" applyFill="1" applyBorder="1" applyAlignment="1" applyProtection="1">
      <alignment horizontal="center" vertical="center"/>
      <protection hidden="1"/>
    </xf>
    <xf numFmtId="4" fontId="5" fillId="2" borderId="6" xfId="0" quotePrefix="1" applyNumberFormat="1" applyFont="1" applyFill="1" applyBorder="1" applyAlignment="1" applyProtection="1">
      <alignment horizontal="center"/>
      <protection hidden="1"/>
    </xf>
    <xf numFmtId="0" fontId="6" fillId="2" borderId="1" xfId="0" applyFont="1" applyFill="1" applyBorder="1" applyAlignment="1" applyProtection="1">
      <alignment horizontal="center" vertical="center"/>
      <protection hidden="1"/>
    </xf>
    <xf numFmtId="0" fontId="13" fillId="2" borderId="1" xfId="0" applyFont="1" applyFill="1" applyBorder="1" applyAlignment="1" applyProtection="1">
      <alignment horizontal="left" vertical="center"/>
      <protection hidden="1"/>
    </xf>
    <xf numFmtId="0" fontId="6" fillId="8" borderId="1" xfId="0" applyFont="1" applyFill="1" applyBorder="1" applyAlignment="1" applyProtection="1">
      <alignment horizontal="center" vertical="center"/>
      <protection hidden="1"/>
    </xf>
    <xf numFmtId="0" fontId="13" fillId="8" borderId="1" xfId="0" applyFont="1" applyFill="1" applyBorder="1" applyAlignment="1" applyProtection="1">
      <alignment horizontal="left" vertical="center"/>
      <protection hidden="1"/>
    </xf>
    <xf numFmtId="0" fontId="8" fillId="12" borderId="0" xfId="0" applyFont="1" applyFill="1" applyAlignment="1" applyProtection="1">
      <alignment horizontal="left" vertical="center"/>
      <protection locked="0" hidden="1"/>
    </xf>
    <xf numFmtId="0" fontId="8" fillId="12" borderId="0" xfId="0" applyFont="1" applyFill="1" applyAlignment="1" applyProtection="1">
      <alignment vertical="center"/>
      <protection locked="0" hidden="1"/>
    </xf>
    <xf numFmtId="0" fontId="2" fillId="12" borderId="1" xfId="0" applyFont="1" applyFill="1" applyBorder="1" applyAlignment="1" applyProtection="1">
      <alignment vertical="center"/>
      <protection hidden="1"/>
    </xf>
    <xf numFmtId="4" fontId="0" fillId="0" borderId="23" xfId="0" applyNumberFormat="1" applyBorder="1" applyProtection="1">
      <protection locked="0"/>
    </xf>
    <xf numFmtId="4" fontId="0" fillId="0" borderId="3" xfId="0" applyNumberFormat="1" applyBorder="1" applyProtection="1">
      <protection locked="0"/>
    </xf>
    <xf numFmtId="4" fontId="0" fillId="0" borderId="25" xfId="0" applyNumberFormat="1" applyBorder="1" applyProtection="1">
      <protection locked="0"/>
    </xf>
    <xf numFmtId="4" fontId="0" fillId="0" borderId="1" xfId="0" applyNumberFormat="1" applyBorder="1" applyProtection="1">
      <protection locked="0"/>
    </xf>
    <xf numFmtId="4" fontId="0" fillId="0" borderId="36" xfId="0" applyNumberFormat="1" applyBorder="1" applyProtection="1">
      <protection locked="0"/>
    </xf>
    <xf numFmtId="4" fontId="0" fillId="0" borderId="2" xfId="0" applyNumberFormat="1" applyBorder="1" applyProtection="1">
      <protection locked="0"/>
    </xf>
    <xf numFmtId="4" fontId="0" fillId="0" borderId="11" xfId="0" applyNumberFormat="1" applyBorder="1" applyProtection="1">
      <protection locked="0"/>
    </xf>
    <xf numFmtId="4" fontId="0" fillId="0" borderId="7" xfId="0" applyNumberFormat="1" applyBorder="1" applyProtection="1">
      <protection locked="0"/>
    </xf>
    <xf numFmtId="4" fontId="0" fillId="0" borderId="13" xfId="0" applyNumberFormat="1" applyBorder="1" applyProtection="1">
      <protection locked="0"/>
    </xf>
    <xf numFmtId="0" fontId="0" fillId="0" borderId="1" xfId="0" applyBorder="1" applyProtection="1">
      <protection locked="0"/>
    </xf>
    <xf numFmtId="0" fontId="14" fillId="9" borderId="6" xfId="0" applyFont="1" applyFill="1" applyBorder="1" applyAlignment="1" applyProtection="1">
      <alignment horizontal="center" vertical="center" wrapText="1"/>
      <protection hidden="1"/>
    </xf>
    <xf numFmtId="0" fontId="14" fillId="9" borderId="5" xfId="0" applyFont="1" applyFill="1" applyBorder="1" applyAlignment="1" applyProtection="1">
      <alignment horizontal="center" vertical="center" wrapText="1"/>
      <protection hidden="1"/>
    </xf>
    <xf numFmtId="0" fontId="14" fillId="9" borderId="7" xfId="0" applyFont="1" applyFill="1" applyBorder="1" applyAlignment="1" applyProtection="1">
      <alignment horizontal="center" vertical="center" wrapText="1"/>
      <protection hidden="1"/>
    </xf>
    <xf numFmtId="0" fontId="13" fillId="11" borderId="6" xfId="0" applyFont="1" applyFill="1" applyBorder="1" applyAlignment="1" applyProtection="1">
      <alignment horizontal="center" vertical="center"/>
      <protection hidden="1"/>
    </xf>
    <xf numFmtId="0" fontId="13" fillId="11" borderId="7" xfId="0" applyFont="1" applyFill="1" applyBorder="1" applyAlignment="1" applyProtection="1">
      <alignment horizontal="center" vertical="center"/>
      <protection hidden="1"/>
    </xf>
    <xf numFmtId="0" fontId="14" fillId="9" borderId="1" xfId="0" applyFont="1" applyFill="1" applyBorder="1" applyAlignment="1" applyProtection="1">
      <alignment horizontal="center" vertical="center"/>
      <protection hidden="1"/>
    </xf>
    <xf numFmtId="0" fontId="6" fillId="9" borderId="1" xfId="0" applyFont="1" applyFill="1" applyBorder="1" applyAlignment="1" applyProtection="1">
      <alignment horizontal="center" vertical="center" wrapText="1"/>
      <protection hidden="1"/>
    </xf>
    <xf numFmtId="0" fontId="12" fillId="0" borderId="6" xfId="0" applyFont="1" applyBorder="1" applyAlignment="1" applyProtection="1">
      <alignment horizontal="left" vertical="center" wrapText="1"/>
      <protection hidden="1"/>
    </xf>
    <xf numFmtId="0" fontId="12" fillId="0" borderId="7" xfId="0" applyFont="1" applyBorder="1" applyAlignment="1" applyProtection="1">
      <alignment horizontal="left" vertical="center" wrapText="1"/>
      <protection hidden="1"/>
    </xf>
    <xf numFmtId="0" fontId="14" fillId="9" borderId="8" xfId="0" applyFont="1" applyFill="1" applyBorder="1" applyAlignment="1" applyProtection="1">
      <alignment horizontal="center" vertical="center"/>
      <protection hidden="1"/>
    </xf>
    <xf numFmtId="0" fontId="14" fillId="9" borderId="13" xfId="0" applyFont="1" applyFill="1" applyBorder="1" applyAlignment="1" applyProtection="1">
      <alignment horizontal="center" vertical="center"/>
      <protection hidden="1"/>
    </xf>
    <xf numFmtId="0" fontId="14" fillId="9" borderId="9" xfId="0" applyFont="1" applyFill="1" applyBorder="1" applyAlignment="1" applyProtection="1">
      <alignment horizontal="center" vertical="center"/>
      <protection hidden="1"/>
    </xf>
    <xf numFmtId="0" fontId="14" fillId="9" borderId="11" xfId="0" applyFont="1" applyFill="1" applyBorder="1" applyAlignment="1" applyProtection="1">
      <alignment horizontal="center" vertical="center"/>
      <protection hidden="1"/>
    </xf>
    <xf numFmtId="0" fontId="12" fillId="12" borderId="6" xfId="0" applyFont="1" applyFill="1" applyBorder="1" applyAlignment="1" applyProtection="1">
      <alignment horizontal="left" vertical="center" wrapText="1"/>
      <protection locked="0" hidden="1"/>
    </xf>
    <xf numFmtId="0" fontId="12" fillId="12" borderId="7" xfId="0" applyFont="1" applyFill="1" applyBorder="1" applyAlignment="1" applyProtection="1">
      <alignment horizontal="left" vertical="center" wrapText="1"/>
      <protection locked="0" hidden="1"/>
    </xf>
    <xf numFmtId="0" fontId="14" fillId="11" borderId="6" xfId="0" applyFont="1" applyFill="1" applyBorder="1" applyAlignment="1" applyProtection="1">
      <alignment horizontal="center" vertical="center" wrapText="1"/>
      <protection hidden="1"/>
    </xf>
    <xf numFmtId="0" fontId="14" fillId="11" borderId="5" xfId="0" applyFont="1" applyFill="1" applyBorder="1" applyAlignment="1" applyProtection="1">
      <alignment horizontal="center" vertical="center" wrapText="1"/>
      <protection hidden="1"/>
    </xf>
    <xf numFmtId="0" fontId="14" fillId="11" borderId="7" xfId="0" applyFont="1" applyFill="1" applyBorder="1" applyAlignment="1" applyProtection="1">
      <alignment horizontal="center" vertical="center" wrapText="1"/>
      <protection hidden="1"/>
    </xf>
    <xf numFmtId="0" fontId="6" fillId="11" borderId="1" xfId="0" applyFont="1" applyFill="1" applyBorder="1" applyAlignment="1" applyProtection="1">
      <alignment horizontal="center" vertical="center"/>
      <protection hidden="1"/>
    </xf>
    <xf numFmtId="0" fontId="6" fillId="10" borderId="2" xfId="0" applyFont="1" applyFill="1" applyBorder="1" applyAlignment="1" applyProtection="1">
      <alignment horizontal="center" vertical="center" wrapText="1"/>
      <protection hidden="1"/>
    </xf>
    <xf numFmtId="0" fontId="6" fillId="10" borderId="3" xfId="0" applyFont="1" applyFill="1" applyBorder="1" applyAlignment="1" applyProtection="1">
      <alignment horizontal="center" vertical="center" wrapText="1"/>
      <protection hidden="1"/>
    </xf>
    <xf numFmtId="0" fontId="14" fillId="11" borderId="1" xfId="0" applyFont="1" applyFill="1" applyBorder="1" applyAlignment="1" applyProtection="1">
      <alignment horizontal="center" vertical="center"/>
      <protection hidden="1"/>
    </xf>
    <xf numFmtId="0" fontId="6" fillId="11" borderId="1" xfId="0" applyFont="1" applyFill="1" applyBorder="1" applyAlignment="1" applyProtection="1">
      <alignment horizontal="center" vertical="center" wrapText="1"/>
      <protection hidden="1"/>
    </xf>
    <xf numFmtId="0" fontId="12" fillId="9" borderId="6" xfId="0" applyFont="1" applyFill="1" applyBorder="1" applyAlignment="1" applyProtection="1">
      <alignment horizontal="center" vertical="center" wrapText="1"/>
      <protection hidden="1"/>
    </xf>
    <xf numFmtId="0" fontId="12" fillId="9" borderId="5" xfId="0" applyFont="1" applyFill="1" applyBorder="1" applyAlignment="1" applyProtection="1">
      <alignment horizontal="center" vertical="center" wrapText="1"/>
      <protection hidden="1"/>
    </xf>
    <xf numFmtId="0" fontId="12" fillId="9" borderId="7" xfId="0" applyFont="1" applyFill="1" applyBorder="1" applyAlignment="1" applyProtection="1">
      <alignment horizontal="center" vertical="center" wrapText="1"/>
      <protection hidden="1"/>
    </xf>
    <xf numFmtId="0" fontId="13" fillId="11" borderId="5" xfId="0" applyFont="1" applyFill="1" applyBorder="1" applyAlignment="1" applyProtection="1">
      <alignment horizontal="center" vertical="center"/>
      <protection hidden="1"/>
    </xf>
    <xf numFmtId="0" fontId="12" fillId="9" borderId="1" xfId="0" applyFont="1" applyFill="1" applyBorder="1" applyAlignment="1" applyProtection="1">
      <alignment horizontal="center" vertical="center"/>
      <protection hidden="1"/>
    </xf>
    <xf numFmtId="0" fontId="13" fillId="9" borderId="1" xfId="0" applyFont="1" applyFill="1" applyBorder="1" applyAlignment="1" applyProtection="1">
      <alignment horizontal="center" vertical="center" wrapText="1"/>
      <protection hidden="1"/>
    </xf>
    <xf numFmtId="0" fontId="2" fillId="5" borderId="1" xfId="0" applyFont="1" applyFill="1" applyBorder="1" applyAlignment="1" applyProtection="1">
      <alignment horizontal="center"/>
      <protection hidden="1"/>
    </xf>
    <xf numFmtId="0" fontId="2" fillId="2" borderId="16" xfId="0" applyFont="1" applyFill="1" applyBorder="1" applyAlignment="1" applyProtection="1">
      <alignment horizontal="center" vertical="center" textRotation="90" wrapText="1"/>
      <protection hidden="1"/>
    </xf>
    <xf numFmtId="0" fontId="2" fillId="2" borderId="18" xfId="0" applyFont="1" applyFill="1" applyBorder="1" applyAlignment="1" applyProtection="1">
      <alignment horizontal="center" vertical="center" textRotation="90" wrapText="1"/>
      <protection hidden="1"/>
    </xf>
    <xf numFmtId="0" fontId="2" fillId="2" borderId="20" xfId="0" applyFont="1" applyFill="1" applyBorder="1" applyAlignment="1" applyProtection="1">
      <alignment horizontal="center" vertical="center" textRotation="90" wrapText="1"/>
      <protection hidden="1"/>
    </xf>
    <xf numFmtId="0" fontId="2" fillId="2" borderId="32" xfId="0" applyFont="1" applyFill="1" applyBorder="1" applyAlignment="1" applyProtection="1">
      <alignment horizontal="center" vertical="center" textRotation="90" wrapText="1"/>
      <protection hidden="1"/>
    </xf>
    <xf numFmtId="0" fontId="2" fillId="2" borderId="52" xfId="0" applyFont="1" applyFill="1" applyBorder="1" applyAlignment="1" applyProtection="1">
      <alignment horizontal="center" vertical="center" textRotation="90" wrapText="1"/>
      <protection hidden="1"/>
    </xf>
    <xf numFmtId="0" fontId="2" fillId="2" borderId="33" xfId="0" applyFont="1" applyFill="1" applyBorder="1" applyAlignment="1" applyProtection="1">
      <alignment horizontal="center" vertical="center" textRotation="90" wrapText="1"/>
      <protection hidden="1"/>
    </xf>
    <xf numFmtId="0" fontId="15" fillId="6" borderId="49" xfId="0" applyFont="1" applyFill="1" applyBorder="1" applyAlignment="1" applyProtection="1">
      <alignment horizontal="center" vertical="center"/>
      <protection hidden="1"/>
    </xf>
    <xf numFmtId="0" fontId="2" fillId="6" borderId="48" xfId="0" applyFont="1" applyFill="1" applyBorder="1" applyAlignment="1" applyProtection="1">
      <alignment horizontal="center" vertical="center" wrapText="1"/>
      <protection hidden="1"/>
    </xf>
    <xf numFmtId="0" fontId="2" fillId="6" borderId="49" xfId="0" applyFont="1" applyFill="1" applyBorder="1" applyAlignment="1" applyProtection="1">
      <alignment horizontal="center" vertical="center" wrapText="1"/>
      <protection hidden="1"/>
    </xf>
    <xf numFmtId="0" fontId="2" fillId="6" borderId="48" xfId="0" applyFont="1" applyFill="1" applyBorder="1" applyAlignment="1" applyProtection="1">
      <alignment horizontal="center" vertical="center"/>
      <protection hidden="1"/>
    </xf>
    <xf numFmtId="0" fontId="2" fillId="6" borderId="49" xfId="0" applyFont="1" applyFill="1" applyBorder="1" applyAlignment="1" applyProtection="1">
      <alignment horizontal="center" vertical="center"/>
      <protection hidden="1"/>
    </xf>
    <xf numFmtId="0" fontId="2" fillId="4" borderId="48" xfId="0" applyFont="1" applyFill="1" applyBorder="1" applyAlignment="1" applyProtection="1">
      <alignment horizontal="center" vertical="center" wrapText="1"/>
      <protection hidden="1"/>
    </xf>
    <xf numFmtId="0" fontId="2" fillId="4" borderId="44" xfId="0" applyFont="1" applyFill="1" applyBorder="1" applyAlignment="1" applyProtection="1">
      <alignment horizontal="center" vertical="center" wrapText="1"/>
      <protection hidden="1"/>
    </xf>
    <xf numFmtId="0" fontId="2" fillId="3" borderId="54" xfId="0" applyFont="1" applyFill="1" applyBorder="1" applyAlignment="1" applyProtection="1">
      <alignment horizontal="center" vertical="center"/>
      <protection hidden="1"/>
    </xf>
    <xf numFmtId="0" fontId="2" fillId="3" borderId="29" xfId="0" applyFont="1" applyFill="1" applyBorder="1" applyAlignment="1" applyProtection="1">
      <alignment horizontal="center" vertical="center"/>
      <protection hidden="1"/>
    </xf>
    <xf numFmtId="0" fontId="2" fillId="3" borderId="55" xfId="0" applyFont="1" applyFill="1" applyBorder="1" applyAlignment="1" applyProtection="1">
      <alignment horizontal="center" vertical="center"/>
      <protection hidden="1"/>
    </xf>
    <xf numFmtId="0" fontId="2" fillId="3" borderId="54" xfId="0" applyFont="1" applyFill="1" applyBorder="1" applyAlignment="1" applyProtection="1">
      <alignment horizontal="center" vertical="center" textRotation="90"/>
      <protection hidden="1"/>
    </xf>
    <xf numFmtId="0" fontId="2" fillId="3" borderId="29" xfId="0" applyFont="1" applyFill="1" applyBorder="1" applyAlignment="1" applyProtection="1">
      <alignment horizontal="center" vertical="center" textRotation="90"/>
      <protection hidden="1"/>
    </xf>
    <xf numFmtId="0" fontId="2" fillId="3" borderId="55" xfId="0" applyFont="1" applyFill="1" applyBorder="1" applyAlignment="1" applyProtection="1">
      <alignment horizontal="center" vertical="center" textRotation="90"/>
      <protection hidden="1"/>
    </xf>
    <xf numFmtId="0" fontId="15" fillId="6" borderId="48" xfId="0" applyFont="1" applyFill="1" applyBorder="1" applyAlignment="1" applyProtection="1">
      <alignment horizontal="center" vertical="center"/>
      <protection hidden="1"/>
    </xf>
    <xf numFmtId="0" fontId="2" fillId="5" borderId="1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CCFF66"/>
      <color rgb="FFCCFFFF"/>
      <color rgb="FF66CCFF"/>
      <color rgb="FFF5F7AF"/>
      <color rgb="FFF8F8BA"/>
      <color rgb="FFE9E3EF"/>
      <color rgb="FFFAFDD5"/>
      <color rgb="FFF8FBD7"/>
      <color rgb="FF9966FF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3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6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2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externalLink" Target="externalLinks/externalLink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8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7.xml"/><Relationship Id="rId27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ans/Documents/CLEANING%20SERVICE/BANK%20SAMPAH/BANK%20SAMPAH%20BARU/Neraca%20Pengelolaan%20Sampah%20Pelabuhan/Juli%202024%20-%20Juni%202025/Neraca%20Pengelolaan%20Sampah%20(SUBREG)%20-%20Juli%202024%20sd%20Juni%202025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ans/Documents/CLEANING%20SERVICE/BANK%20SAMPAH/BANK%20SAMPAH%20BARU/Neraca%20Pengelolaan%20Sampah%20Pelabuhan/Juli%202024%20-%20Juni%202025/Neraca%20Pengelolaan%20Sampah%20(SPTP)%20-%20Juli%202024%20sd%20Juni%20202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S%20SPMT%20Trisakti\Pengelolaan%20dan%20Pengangkutan%20Sampah\Neraca%20Pengelolaan%20Sampah%20(SPMT)%20-%20Juli%202024%20sd%20Juni%202025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ownloads/oktober%20&amp;%20november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ownloads/januari%20&amp;%20februari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ownloads/Maret%20&amp;%20April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ownloads/Mei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ownloads/jun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kap Neraca Pengelolaan Sampah"/>
      <sheetName val="Rekap Pengurangan_Penanganan"/>
      <sheetName val="Rekap Sampah terkelola"/>
      <sheetName val="Rekap area"/>
      <sheetName val="Juli"/>
      <sheetName val="Agustus"/>
      <sheetName val="September"/>
      <sheetName val="Oktober"/>
      <sheetName val="November"/>
      <sheetName val="Desember"/>
      <sheetName val="Januari"/>
      <sheetName val="Februari"/>
      <sheetName val="Maret"/>
      <sheetName val="April"/>
      <sheetName val="Mei"/>
      <sheetName val="Juni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6">
          <cell r="O6">
            <v>80</v>
          </cell>
        </row>
        <row r="12">
          <cell r="O12"/>
          <cell r="V12"/>
        </row>
        <row r="18">
          <cell r="AC18"/>
        </row>
        <row r="19">
          <cell r="AC19"/>
        </row>
        <row r="33">
          <cell r="O33"/>
        </row>
      </sheetData>
      <sheetData sheetId="5" refreshError="1">
        <row r="6">
          <cell r="O6"/>
        </row>
        <row r="9">
          <cell r="O9"/>
        </row>
      </sheetData>
      <sheetData sheetId="6" refreshError="1">
        <row r="7">
          <cell r="O7">
            <v>100</v>
          </cell>
          <cell r="V7">
            <v>100</v>
          </cell>
          <cell r="AC7">
            <v>100</v>
          </cell>
          <cell r="AX7">
            <v>100</v>
          </cell>
        </row>
        <row r="8">
          <cell r="O8">
            <v>100</v>
          </cell>
          <cell r="V8">
            <v>100</v>
          </cell>
          <cell r="AC8">
            <v>100</v>
          </cell>
          <cell r="AX8">
            <v>100</v>
          </cell>
        </row>
        <row r="9">
          <cell r="O9">
            <v>175</v>
          </cell>
          <cell r="V9">
            <v>125</v>
          </cell>
          <cell r="AC9">
            <v>100</v>
          </cell>
          <cell r="AX9">
            <v>100</v>
          </cell>
        </row>
        <row r="10">
          <cell r="O10">
            <v>200</v>
          </cell>
          <cell r="V10">
            <v>150</v>
          </cell>
          <cell r="AC10">
            <v>125</v>
          </cell>
          <cell r="AX10">
            <v>125</v>
          </cell>
        </row>
        <row r="11">
          <cell r="O11">
            <v>100</v>
          </cell>
          <cell r="V11">
            <v>100</v>
          </cell>
          <cell r="AC11">
            <v>100</v>
          </cell>
          <cell r="AX11">
            <v>100</v>
          </cell>
        </row>
        <row r="12">
          <cell r="O12">
            <v>100</v>
          </cell>
          <cell r="V12">
            <v>100</v>
          </cell>
          <cell r="AC12">
            <v>100</v>
          </cell>
          <cell r="AX12">
            <v>100</v>
          </cell>
        </row>
        <row r="13">
          <cell r="O13"/>
          <cell r="V13"/>
          <cell r="AC13"/>
          <cell r="AX13"/>
        </row>
        <row r="14">
          <cell r="O14">
            <v>100</v>
          </cell>
          <cell r="V14">
            <v>100</v>
          </cell>
          <cell r="AC14">
            <v>100</v>
          </cell>
          <cell r="AX14">
            <v>100</v>
          </cell>
        </row>
        <row r="15">
          <cell r="O15">
            <v>90</v>
          </cell>
          <cell r="V15">
            <v>100</v>
          </cell>
          <cell r="AC15">
            <v>100</v>
          </cell>
          <cell r="AX15">
            <v>100</v>
          </cell>
        </row>
        <row r="16">
          <cell r="O16">
            <v>150</v>
          </cell>
          <cell r="V16">
            <v>150</v>
          </cell>
          <cell r="AC16">
            <v>150</v>
          </cell>
          <cell r="AX16">
            <v>50</v>
          </cell>
        </row>
        <row r="17">
          <cell r="O17">
            <v>105</v>
          </cell>
          <cell r="V17">
            <v>100</v>
          </cell>
          <cell r="AC17">
            <v>100</v>
          </cell>
          <cell r="AX17">
            <v>100</v>
          </cell>
        </row>
        <row r="18">
          <cell r="O18">
            <v>95</v>
          </cell>
          <cell r="V18">
            <v>100</v>
          </cell>
          <cell r="AC18">
            <v>100</v>
          </cell>
          <cell r="AX18">
            <v>100</v>
          </cell>
        </row>
        <row r="19">
          <cell r="O19">
            <v>75</v>
          </cell>
          <cell r="V19">
            <v>100</v>
          </cell>
          <cell r="AC19">
            <v>100</v>
          </cell>
          <cell r="AX19">
            <v>100</v>
          </cell>
        </row>
        <row r="20">
          <cell r="O20"/>
          <cell r="V20"/>
          <cell r="AC20"/>
          <cell r="AX20"/>
        </row>
        <row r="21">
          <cell r="O21"/>
          <cell r="V21"/>
          <cell r="AC21"/>
          <cell r="AX21"/>
        </row>
        <row r="22">
          <cell r="O22">
            <v>100</v>
          </cell>
          <cell r="V22">
            <v>100</v>
          </cell>
          <cell r="AC22">
            <v>100</v>
          </cell>
          <cell r="AX22">
            <v>100</v>
          </cell>
        </row>
        <row r="23">
          <cell r="O23">
            <v>100</v>
          </cell>
          <cell r="V23">
            <v>100</v>
          </cell>
          <cell r="AC23">
            <v>200</v>
          </cell>
          <cell r="AX23">
            <v>190</v>
          </cell>
        </row>
        <row r="24">
          <cell r="O24">
            <v>110</v>
          </cell>
          <cell r="V24">
            <v>100</v>
          </cell>
          <cell r="AC24">
            <v>100</v>
          </cell>
          <cell r="AX24">
            <v>100</v>
          </cell>
        </row>
        <row r="25">
          <cell r="O25">
            <v>100</v>
          </cell>
          <cell r="V25">
            <v>100</v>
          </cell>
          <cell r="AC25">
            <v>100</v>
          </cell>
          <cell r="AX25">
            <v>65</v>
          </cell>
        </row>
        <row r="26">
          <cell r="O26"/>
          <cell r="V26"/>
          <cell r="AC26"/>
          <cell r="AX26"/>
        </row>
        <row r="27">
          <cell r="O27"/>
          <cell r="V27"/>
          <cell r="AC27"/>
          <cell r="AX27"/>
        </row>
        <row r="28">
          <cell r="O28">
            <v>95</v>
          </cell>
          <cell r="V28">
            <v>100</v>
          </cell>
          <cell r="AC28">
            <v>100</v>
          </cell>
          <cell r="AX28">
            <v>100</v>
          </cell>
        </row>
        <row r="29">
          <cell r="O29">
            <v>100</v>
          </cell>
          <cell r="V29">
            <v>100</v>
          </cell>
          <cell r="AC29">
            <v>100</v>
          </cell>
          <cell r="AX29">
            <v>120</v>
          </cell>
        </row>
        <row r="30">
          <cell r="O30">
            <v>130</v>
          </cell>
          <cell r="V30">
            <v>100</v>
          </cell>
          <cell r="AC30">
            <v>100</v>
          </cell>
          <cell r="AX30">
            <v>100</v>
          </cell>
        </row>
        <row r="31">
          <cell r="O31">
            <v>100</v>
          </cell>
          <cell r="V31">
            <v>100</v>
          </cell>
          <cell r="AC31">
            <v>100</v>
          </cell>
          <cell r="AX31">
            <v>135</v>
          </cell>
        </row>
        <row r="32">
          <cell r="O32">
            <v>100</v>
          </cell>
          <cell r="V32">
            <v>95</v>
          </cell>
          <cell r="AC32">
            <v>100</v>
          </cell>
          <cell r="AX32">
            <v>100</v>
          </cell>
        </row>
        <row r="33">
          <cell r="O33"/>
          <cell r="V33"/>
          <cell r="AC33"/>
          <cell r="AX33"/>
        </row>
        <row r="34">
          <cell r="O34"/>
          <cell r="V34"/>
          <cell r="AC34"/>
          <cell r="AX34"/>
        </row>
        <row r="35">
          <cell r="O35">
            <v>100</v>
          </cell>
          <cell r="V35">
            <v>200</v>
          </cell>
          <cell r="AC35">
            <v>200</v>
          </cell>
          <cell r="AX35">
            <v>180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kap Neraca Pengelolaan Sampah"/>
      <sheetName val="Rekap Pengurangan_Penanganan"/>
      <sheetName val="Rekap Sampah terkelola"/>
      <sheetName val="Rekap area"/>
      <sheetName val="Juli"/>
      <sheetName val="Agustus"/>
      <sheetName val="September"/>
      <sheetName val="Oktober"/>
      <sheetName val="November"/>
      <sheetName val="Desember"/>
      <sheetName val="Januari"/>
      <sheetName val="Februari"/>
      <sheetName val="Maret"/>
      <sheetName val="April"/>
      <sheetName val="Mei"/>
      <sheetName val="Juni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6">
          <cell r="O6">
            <v>40</v>
          </cell>
        </row>
        <row r="12">
          <cell r="O12"/>
          <cell r="V12"/>
        </row>
        <row r="18">
          <cell r="AC18">
            <v>180</v>
          </cell>
        </row>
        <row r="19">
          <cell r="AC19"/>
        </row>
        <row r="33">
          <cell r="O33"/>
        </row>
      </sheetData>
      <sheetData sheetId="5" refreshError="1">
        <row r="6">
          <cell r="O6">
            <v>100</v>
          </cell>
        </row>
        <row r="9">
          <cell r="O9"/>
        </row>
      </sheetData>
      <sheetData sheetId="6" refreshError="1">
        <row r="7">
          <cell r="O7">
            <v>100</v>
          </cell>
          <cell r="V7">
            <v>100</v>
          </cell>
          <cell r="AC7">
            <v>100</v>
          </cell>
          <cell r="AX7">
            <v>100</v>
          </cell>
        </row>
        <row r="8">
          <cell r="O8">
            <v>80</v>
          </cell>
          <cell r="V8">
            <v>100</v>
          </cell>
          <cell r="AC8">
            <v>100</v>
          </cell>
          <cell r="AX8">
            <v>100</v>
          </cell>
        </row>
        <row r="9">
          <cell r="O9">
            <v>160</v>
          </cell>
          <cell r="V9">
            <v>150</v>
          </cell>
          <cell r="AC9">
            <v>150</v>
          </cell>
          <cell r="AX9">
            <v>200</v>
          </cell>
        </row>
        <row r="10">
          <cell r="O10">
            <v>40</v>
          </cell>
          <cell r="V10">
            <v>200</v>
          </cell>
          <cell r="AC10">
            <v>150</v>
          </cell>
          <cell r="AX10">
            <v>150</v>
          </cell>
        </row>
        <row r="11">
          <cell r="O11">
            <v>200</v>
          </cell>
          <cell r="V11">
            <v>200</v>
          </cell>
          <cell r="AC11">
            <v>200</v>
          </cell>
          <cell r="AX11">
            <v>200</v>
          </cell>
        </row>
        <row r="12">
          <cell r="O12"/>
          <cell r="V12"/>
          <cell r="AC12"/>
          <cell r="AX12"/>
        </row>
        <row r="13">
          <cell r="O13"/>
          <cell r="V13"/>
          <cell r="AC13"/>
          <cell r="AX13"/>
        </row>
        <row r="14">
          <cell r="O14">
            <v>100</v>
          </cell>
          <cell r="V14">
            <v>100</v>
          </cell>
          <cell r="AC14">
            <v>100</v>
          </cell>
          <cell r="AX14">
            <v>100</v>
          </cell>
        </row>
        <row r="15">
          <cell r="O15">
            <v>25</v>
          </cell>
          <cell r="V15">
            <v>75</v>
          </cell>
          <cell r="AC15">
            <v>100</v>
          </cell>
          <cell r="AX15">
            <v>100</v>
          </cell>
        </row>
        <row r="16">
          <cell r="O16">
            <v>100</v>
          </cell>
          <cell r="V16">
            <v>100</v>
          </cell>
          <cell r="AC16">
            <v>100</v>
          </cell>
          <cell r="AX16">
            <v>100</v>
          </cell>
        </row>
        <row r="17">
          <cell r="O17">
            <v>100</v>
          </cell>
          <cell r="V17">
            <v>100</v>
          </cell>
          <cell r="AC17">
            <v>100</v>
          </cell>
          <cell r="AX17">
            <v>100</v>
          </cell>
        </row>
        <row r="18">
          <cell r="O18">
            <v>100</v>
          </cell>
          <cell r="V18">
            <v>100</v>
          </cell>
          <cell r="AC18">
            <v>100</v>
          </cell>
          <cell r="AX18">
            <v>100</v>
          </cell>
        </row>
        <row r="19">
          <cell r="O19">
            <v>70</v>
          </cell>
          <cell r="V19">
            <v>100</v>
          </cell>
          <cell r="AC19">
            <v>100</v>
          </cell>
          <cell r="AX19">
            <v>50</v>
          </cell>
        </row>
        <row r="20">
          <cell r="O20"/>
          <cell r="V20"/>
          <cell r="AC20"/>
          <cell r="AX20"/>
        </row>
        <row r="21">
          <cell r="O21"/>
          <cell r="V21"/>
          <cell r="AC21"/>
          <cell r="AX21"/>
        </row>
        <row r="22">
          <cell r="O22"/>
          <cell r="V22"/>
          <cell r="AC22"/>
          <cell r="AX22"/>
        </row>
        <row r="23">
          <cell r="O23">
            <v>150</v>
          </cell>
          <cell r="V23">
            <v>150</v>
          </cell>
          <cell r="AC23">
            <v>200</v>
          </cell>
          <cell r="AX23">
            <v>160</v>
          </cell>
        </row>
        <row r="24">
          <cell r="O24">
            <v>50</v>
          </cell>
          <cell r="V24">
            <v>100</v>
          </cell>
          <cell r="AC24">
            <v>50</v>
          </cell>
          <cell r="AX24">
            <v>60</v>
          </cell>
        </row>
        <row r="25">
          <cell r="O25">
            <v>100</v>
          </cell>
          <cell r="V25">
            <v>50</v>
          </cell>
          <cell r="AC25">
            <v>60</v>
          </cell>
          <cell r="AX25">
            <v>100</v>
          </cell>
        </row>
        <row r="26">
          <cell r="O26">
            <v>50</v>
          </cell>
          <cell r="V26">
            <v>150</v>
          </cell>
          <cell r="AC26">
            <v>150</v>
          </cell>
          <cell r="AX26">
            <v>110</v>
          </cell>
        </row>
        <row r="27">
          <cell r="O27"/>
          <cell r="V27"/>
          <cell r="AC27"/>
          <cell r="AX27"/>
        </row>
        <row r="28">
          <cell r="O28">
            <v>50</v>
          </cell>
          <cell r="V28">
            <v>150</v>
          </cell>
          <cell r="AC28">
            <v>100</v>
          </cell>
          <cell r="AX28">
            <v>120</v>
          </cell>
        </row>
        <row r="29">
          <cell r="O29">
            <v>50</v>
          </cell>
          <cell r="V29">
            <v>50</v>
          </cell>
          <cell r="AC29">
            <v>50</v>
          </cell>
          <cell r="AX29">
            <v>50</v>
          </cell>
        </row>
        <row r="30">
          <cell r="O30">
            <v>100</v>
          </cell>
          <cell r="V30">
            <v>50</v>
          </cell>
          <cell r="AC30">
            <v>150</v>
          </cell>
          <cell r="AX30">
            <v>20</v>
          </cell>
        </row>
        <row r="31">
          <cell r="O31">
            <v>150</v>
          </cell>
          <cell r="V31">
            <v>50</v>
          </cell>
          <cell r="AC31">
            <v>100</v>
          </cell>
          <cell r="AX31">
            <v>100</v>
          </cell>
        </row>
        <row r="32">
          <cell r="O32">
            <v>50</v>
          </cell>
          <cell r="V32">
            <v>20</v>
          </cell>
          <cell r="AC32">
            <v>150</v>
          </cell>
          <cell r="AX32">
            <v>50</v>
          </cell>
        </row>
        <row r="33">
          <cell r="O33">
            <v>200</v>
          </cell>
          <cell r="V33">
            <v>150</v>
          </cell>
          <cell r="AC33">
            <v>150</v>
          </cell>
          <cell r="AX33">
            <v>100</v>
          </cell>
        </row>
        <row r="34">
          <cell r="O34"/>
          <cell r="V34"/>
          <cell r="AC34"/>
          <cell r="AX34"/>
        </row>
        <row r="35">
          <cell r="O35">
            <v>100</v>
          </cell>
          <cell r="V35">
            <v>150</v>
          </cell>
          <cell r="AC35">
            <v>150</v>
          </cell>
          <cell r="AX35">
            <v>90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kap Neraca Pengelolaan Sampah"/>
      <sheetName val="Rekap Pengurangan_Penanganan"/>
      <sheetName val="Rekap Sampah terkelola"/>
      <sheetName val="Rekap area"/>
      <sheetName val="Juli"/>
      <sheetName val="Agustus"/>
      <sheetName val="September"/>
      <sheetName val="Oktober"/>
      <sheetName val="November"/>
      <sheetName val="Desember"/>
      <sheetName val="Januari"/>
      <sheetName val="Februari"/>
      <sheetName val="Maret"/>
      <sheetName val="April"/>
      <sheetName val="Mei"/>
      <sheetName val="Jun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7">
          <cell r="O7">
            <v>90</v>
          </cell>
          <cell r="V7">
            <v>300</v>
          </cell>
        </row>
        <row r="8">
          <cell r="O8">
            <v>50</v>
          </cell>
          <cell r="V8">
            <v>200</v>
          </cell>
        </row>
        <row r="9">
          <cell r="O9">
            <v>600</v>
          </cell>
          <cell r="V9">
            <v>985</v>
          </cell>
        </row>
        <row r="10">
          <cell r="O10">
            <v>70</v>
          </cell>
          <cell r="V10">
            <v>300</v>
          </cell>
        </row>
        <row r="11">
          <cell r="O11">
            <v>180</v>
          </cell>
          <cell r="V11">
            <v>320</v>
          </cell>
        </row>
        <row r="12">
          <cell r="O12">
            <v>25</v>
          </cell>
          <cell r="V12">
            <v>120</v>
          </cell>
        </row>
        <row r="14">
          <cell r="O14">
            <v>45</v>
          </cell>
          <cell r="V14">
            <v>200</v>
          </cell>
        </row>
        <row r="15">
          <cell r="O15">
            <v>120</v>
          </cell>
          <cell r="V15">
            <v>500</v>
          </cell>
        </row>
        <row r="16">
          <cell r="O16">
            <v>45</v>
          </cell>
          <cell r="V16">
            <v>100</v>
          </cell>
        </row>
        <row r="17">
          <cell r="O17">
            <v>35</v>
          </cell>
          <cell r="V17">
            <v>150</v>
          </cell>
        </row>
        <row r="18">
          <cell r="O18">
            <v>20</v>
          </cell>
          <cell r="V18">
            <v>200</v>
          </cell>
        </row>
        <row r="22">
          <cell r="O22">
            <v>45</v>
          </cell>
          <cell r="V22">
            <v>400</v>
          </cell>
          <cell r="AW22">
            <v>1</v>
          </cell>
        </row>
        <row r="23">
          <cell r="O23">
            <v>30</v>
          </cell>
          <cell r="V23">
            <v>100</v>
          </cell>
        </row>
        <row r="24">
          <cell r="O24">
            <v>10</v>
          </cell>
          <cell r="V24">
            <v>160</v>
          </cell>
        </row>
        <row r="25">
          <cell r="O25">
            <v>20</v>
          </cell>
          <cell r="V25">
            <v>150</v>
          </cell>
        </row>
        <row r="28">
          <cell r="O28">
            <v>30</v>
          </cell>
          <cell r="V28">
            <v>100</v>
          </cell>
        </row>
        <row r="29">
          <cell r="O29">
            <v>40</v>
          </cell>
          <cell r="V29">
            <v>150</v>
          </cell>
        </row>
        <row r="30">
          <cell r="O30">
            <v>25</v>
          </cell>
          <cell r="V30">
            <v>200</v>
          </cell>
        </row>
        <row r="31">
          <cell r="O31">
            <v>35</v>
          </cell>
          <cell r="V31">
            <v>150</v>
          </cell>
        </row>
        <row r="32">
          <cell r="O32">
            <v>40</v>
          </cell>
          <cell r="V32">
            <v>100</v>
          </cell>
        </row>
        <row r="35">
          <cell r="O35">
            <v>40</v>
          </cell>
          <cell r="V35">
            <v>780</v>
          </cell>
          <cell r="AW35">
            <v>1</v>
          </cell>
        </row>
      </sheetData>
      <sheetData sheetId="7" refreshError="1">
        <row r="6">
          <cell r="O6">
            <v>35</v>
          </cell>
          <cell r="V6">
            <v>200</v>
          </cell>
          <cell r="AC6">
            <v>600</v>
          </cell>
        </row>
        <row r="7">
          <cell r="O7">
            <v>40</v>
          </cell>
          <cell r="V7">
            <v>200</v>
          </cell>
          <cell r="AC7">
            <v>400</v>
          </cell>
        </row>
        <row r="8">
          <cell r="O8">
            <v>40</v>
          </cell>
          <cell r="V8">
            <v>100</v>
          </cell>
          <cell r="AC8">
            <v>300</v>
          </cell>
        </row>
        <row r="9">
          <cell r="O9">
            <v>30</v>
          </cell>
          <cell r="V9">
            <v>200</v>
          </cell>
          <cell r="AC9">
            <v>540</v>
          </cell>
          <cell r="AX9">
            <v>6</v>
          </cell>
        </row>
        <row r="10">
          <cell r="O10">
            <v>20</v>
          </cell>
          <cell r="V10">
            <v>250</v>
          </cell>
          <cell r="AC10">
            <v>550</v>
          </cell>
        </row>
        <row r="12">
          <cell r="O12">
            <v>40</v>
          </cell>
          <cell r="V12">
            <v>400</v>
          </cell>
          <cell r="AC12">
            <v>500</v>
          </cell>
        </row>
        <row r="13">
          <cell r="O13">
            <v>80</v>
          </cell>
          <cell r="V13">
            <v>300</v>
          </cell>
          <cell r="AC13">
            <v>700</v>
          </cell>
        </row>
        <row r="14">
          <cell r="O14">
            <v>50</v>
          </cell>
          <cell r="V14">
            <v>230</v>
          </cell>
          <cell r="AC14">
            <v>700</v>
          </cell>
          <cell r="AX14">
            <v>5</v>
          </cell>
        </row>
        <row r="15">
          <cell r="O15">
            <v>100</v>
          </cell>
          <cell r="V15">
            <v>330</v>
          </cell>
          <cell r="AC15">
            <v>670</v>
          </cell>
        </row>
        <row r="16">
          <cell r="O16">
            <v>25</v>
          </cell>
          <cell r="V16">
            <v>430</v>
          </cell>
          <cell r="AC16">
            <v>960</v>
          </cell>
          <cell r="AX16">
            <v>5</v>
          </cell>
        </row>
        <row r="18">
          <cell r="O18">
            <v>20</v>
          </cell>
          <cell r="V18">
            <v>100</v>
          </cell>
          <cell r="AC18">
            <v>220</v>
          </cell>
        </row>
        <row r="19">
          <cell r="O19">
            <v>70</v>
          </cell>
          <cell r="V19">
            <v>350</v>
          </cell>
          <cell r="AC19">
            <v>850</v>
          </cell>
        </row>
        <row r="20">
          <cell r="O20">
            <v>10</v>
          </cell>
          <cell r="V20">
            <v>130</v>
          </cell>
          <cell r="AC20">
            <v>200</v>
          </cell>
        </row>
        <row r="21">
          <cell r="O21">
            <v>30</v>
          </cell>
          <cell r="V21">
            <v>620</v>
          </cell>
          <cell r="AC21">
            <v>920</v>
          </cell>
          <cell r="AX21">
            <v>5</v>
          </cell>
        </row>
        <row r="22">
          <cell r="O22">
            <v>35</v>
          </cell>
          <cell r="V22">
            <v>500</v>
          </cell>
          <cell r="AC22">
            <v>800</v>
          </cell>
        </row>
        <row r="23">
          <cell r="O23">
            <v>50</v>
          </cell>
          <cell r="V23">
            <v>245</v>
          </cell>
          <cell r="AC23">
            <v>640</v>
          </cell>
          <cell r="AX23">
            <v>5</v>
          </cell>
        </row>
        <row r="26">
          <cell r="O26">
            <v>20</v>
          </cell>
          <cell r="V26">
            <v>150</v>
          </cell>
          <cell r="AC26">
            <v>450</v>
          </cell>
        </row>
        <row r="27">
          <cell r="O27">
            <v>45</v>
          </cell>
          <cell r="V27">
            <v>200</v>
          </cell>
          <cell r="AC27">
            <v>700</v>
          </cell>
        </row>
        <row r="28">
          <cell r="O28">
            <v>25</v>
          </cell>
          <cell r="V28">
            <v>140</v>
          </cell>
          <cell r="AC28">
            <v>440</v>
          </cell>
        </row>
        <row r="29">
          <cell r="O29">
            <v>70</v>
          </cell>
          <cell r="V29">
            <v>280</v>
          </cell>
          <cell r="AC29">
            <v>905</v>
          </cell>
          <cell r="AX29">
            <v>5</v>
          </cell>
        </row>
        <row r="30">
          <cell r="O30">
            <v>100</v>
          </cell>
          <cell r="V30">
            <v>400</v>
          </cell>
          <cell r="AC30">
            <v>800</v>
          </cell>
        </row>
        <row r="33">
          <cell r="O33">
            <v>60</v>
          </cell>
          <cell r="V33">
            <v>520</v>
          </cell>
          <cell r="AC33">
            <v>700</v>
          </cell>
          <cell r="AX33">
            <v>10</v>
          </cell>
        </row>
        <row r="34">
          <cell r="O34">
            <v>20</v>
          </cell>
          <cell r="V34">
            <v>120</v>
          </cell>
          <cell r="AC34">
            <v>400</v>
          </cell>
        </row>
        <row r="35">
          <cell r="O35">
            <v>30</v>
          </cell>
          <cell r="V35">
            <v>120</v>
          </cell>
          <cell r="AC35">
            <v>520</v>
          </cell>
          <cell r="AX35">
            <v>5</v>
          </cell>
        </row>
        <row r="36">
          <cell r="O36">
            <v>40</v>
          </cell>
          <cell r="V36">
            <v>420</v>
          </cell>
          <cell r="AC36">
            <v>140</v>
          </cell>
        </row>
      </sheetData>
      <sheetData sheetId="8" refreshError="1">
        <row r="6">
          <cell r="O6">
            <v>45</v>
          </cell>
          <cell r="AC6">
            <v>450</v>
          </cell>
        </row>
        <row r="9">
          <cell r="AC9">
            <v>850</v>
          </cell>
        </row>
        <row r="10">
          <cell r="AC10">
            <v>400</v>
          </cell>
        </row>
        <row r="11">
          <cell r="AC11">
            <v>810</v>
          </cell>
        </row>
        <row r="12">
          <cell r="AC12">
            <v>600</v>
          </cell>
        </row>
        <row r="13">
          <cell r="AC13">
            <v>400</v>
          </cell>
        </row>
        <row r="16">
          <cell r="AC16">
            <v>600</v>
          </cell>
        </row>
        <row r="17">
          <cell r="AC17">
            <v>900</v>
          </cell>
        </row>
        <row r="18">
          <cell r="AC18">
            <v>650</v>
          </cell>
        </row>
        <row r="19">
          <cell r="AC19">
            <v>700</v>
          </cell>
        </row>
        <row r="20">
          <cell r="AC20">
            <v>800</v>
          </cell>
        </row>
        <row r="21">
          <cell r="AC21">
            <v>500</v>
          </cell>
        </row>
        <row r="23">
          <cell r="AC23">
            <v>450</v>
          </cell>
        </row>
        <row r="24">
          <cell r="AC24">
            <v>400</v>
          </cell>
        </row>
        <row r="25">
          <cell r="AC25">
            <v>900</v>
          </cell>
        </row>
        <row r="26">
          <cell r="AC26">
            <v>650</v>
          </cell>
        </row>
        <row r="27">
          <cell r="AC27">
            <v>750</v>
          </cell>
        </row>
        <row r="30">
          <cell r="AC30">
            <v>720</v>
          </cell>
        </row>
        <row r="31">
          <cell r="AC31">
            <v>850</v>
          </cell>
        </row>
        <row r="33">
          <cell r="AC33">
            <v>850</v>
          </cell>
        </row>
        <row r="34">
          <cell r="AC34">
            <v>650</v>
          </cell>
        </row>
      </sheetData>
      <sheetData sheetId="9" refreshError="1"/>
      <sheetData sheetId="10" refreshError="1">
        <row r="7">
          <cell r="AX7">
            <v>40</v>
          </cell>
        </row>
        <row r="8">
          <cell r="AX8">
            <v>50</v>
          </cell>
        </row>
        <row r="11">
          <cell r="AX11">
            <v>60</v>
          </cell>
        </row>
        <row r="12">
          <cell r="AX12">
            <v>20</v>
          </cell>
        </row>
        <row r="13">
          <cell r="AX13">
            <v>70</v>
          </cell>
        </row>
        <row r="14">
          <cell r="AX14">
            <v>70</v>
          </cell>
        </row>
        <row r="15">
          <cell r="AX15">
            <v>60</v>
          </cell>
        </row>
        <row r="16">
          <cell r="AX16">
            <v>30</v>
          </cell>
        </row>
        <row r="18">
          <cell r="AX18">
            <v>60</v>
          </cell>
        </row>
        <row r="19">
          <cell r="AX19">
            <v>460</v>
          </cell>
        </row>
        <row r="20">
          <cell r="AX20">
            <v>300</v>
          </cell>
        </row>
        <row r="21">
          <cell r="AX21">
            <v>70</v>
          </cell>
        </row>
        <row r="22">
          <cell r="AX22">
            <v>50</v>
          </cell>
        </row>
      </sheetData>
      <sheetData sheetId="11" refreshError="1"/>
      <sheetData sheetId="12" refreshError="1">
        <row r="8">
          <cell r="J8">
            <v>200</v>
          </cell>
          <cell r="X8">
            <v>350</v>
          </cell>
        </row>
        <row r="9">
          <cell r="X9">
            <v>300</v>
          </cell>
          <cell r="AS9">
            <v>5</v>
          </cell>
        </row>
        <row r="10">
          <cell r="X10">
            <v>350</v>
          </cell>
        </row>
        <row r="11">
          <cell r="X11">
            <v>400</v>
          </cell>
        </row>
        <row r="12">
          <cell r="X12">
            <v>300</v>
          </cell>
        </row>
        <row r="15">
          <cell r="X15">
            <v>400</v>
          </cell>
          <cell r="AS15">
            <v>5</v>
          </cell>
        </row>
        <row r="16">
          <cell r="X16">
            <v>400</v>
          </cell>
        </row>
        <row r="17">
          <cell r="X17">
            <v>300</v>
          </cell>
        </row>
        <row r="18">
          <cell r="X18">
            <v>300</v>
          </cell>
        </row>
        <row r="19">
          <cell r="X19">
            <v>300</v>
          </cell>
        </row>
        <row r="22">
          <cell r="X22">
            <v>300</v>
          </cell>
        </row>
        <row r="23">
          <cell r="X23">
            <v>300</v>
          </cell>
          <cell r="AS23">
            <v>5</v>
          </cell>
        </row>
        <row r="24">
          <cell r="X24">
            <v>400</v>
          </cell>
          <cell r="AS24">
            <v>5</v>
          </cell>
        </row>
        <row r="25">
          <cell r="X25">
            <v>300</v>
          </cell>
        </row>
        <row r="26">
          <cell r="X26">
            <v>300</v>
          </cell>
        </row>
        <row r="29">
          <cell r="X29">
            <v>450</v>
          </cell>
        </row>
        <row r="30">
          <cell r="X30">
            <v>350</v>
          </cell>
          <cell r="AS30">
            <v>5</v>
          </cell>
        </row>
        <row r="31">
          <cell r="X31">
            <v>300</v>
          </cell>
        </row>
        <row r="32">
          <cell r="X32">
            <v>300</v>
          </cell>
        </row>
      </sheetData>
      <sheetData sheetId="13" refreshError="1">
        <row r="10">
          <cell r="Q10">
            <v>200</v>
          </cell>
        </row>
        <row r="12">
          <cell r="AS12">
            <v>10</v>
          </cell>
        </row>
        <row r="13">
          <cell r="J13">
            <v>100</v>
          </cell>
        </row>
        <row r="14">
          <cell r="Q14">
            <v>200</v>
          </cell>
        </row>
        <row r="15">
          <cell r="J15">
            <v>100</v>
          </cell>
        </row>
        <row r="16">
          <cell r="AS16">
            <v>10</v>
          </cell>
        </row>
        <row r="17">
          <cell r="J17">
            <v>100</v>
          </cell>
          <cell r="X17">
            <v>200</v>
          </cell>
        </row>
        <row r="19">
          <cell r="J19">
            <v>100</v>
          </cell>
          <cell r="Q19">
            <v>200</v>
          </cell>
        </row>
        <row r="20">
          <cell r="X20">
            <v>200</v>
          </cell>
          <cell r="AS20">
            <v>10</v>
          </cell>
        </row>
        <row r="21">
          <cell r="Q21">
            <v>200</v>
          </cell>
        </row>
        <row r="22">
          <cell r="X22">
            <v>200</v>
          </cell>
        </row>
        <row r="23">
          <cell r="X23">
            <v>200</v>
          </cell>
          <cell r="AS23">
            <v>10</v>
          </cell>
        </row>
        <row r="24">
          <cell r="J24">
            <v>100</v>
          </cell>
          <cell r="Q24">
            <v>200</v>
          </cell>
        </row>
        <row r="25">
          <cell r="Q25">
            <v>200</v>
          </cell>
        </row>
        <row r="26">
          <cell r="X26">
            <v>200</v>
          </cell>
          <cell r="AS26">
            <v>10</v>
          </cell>
        </row>
        <row r="27">
          <cell r="Q27">
            <v>200</v>
          </cell>
        </row>
        <row r="30">
          <cell r="X30">
            <v>200</v>
          </cell>
        </row>
        <row r="31">
          <cell r="AS31">
            <v>10</v>
          </cell>
        </row>
        <row r="33">
          <cell r="AS33">
            <v>10</v>
          </cell>
        </row>
        <row r="34">
          <cell r="X34">
            <v>200</v>
          </cell>
        </row>
        <row r="35">
          <cell r="J35">
            <v>100</v>
          </cell>
        </row>
      </sheetData>
      <sheetData sheetId="14" refreshError="1">
        <row r="8">
          <cell r="X8">
            <v>200</v>
          </cell>
        </row>
        <row r="10">
          <cell r="J10">
            <v>100</v>
          </cell>
          <cell r="X10">
            <v>200</v>
          </cell>
        </row>
        <row r="12">
          <cell r="J12">
            <v>100</v>
          </cell>
        </row>
        <row r="13">
          <cell r="X13">
            <v>200</v>
          </cell>
        </row>
        <row r="14">
          <cell r="J14">
            <v>100</v>
          </cell>
        </row>
        <row r="18">
          <cell r="X18">
            <v>200</v>
          </cell>
        </row>
        <row r="19">
          <cell r="J19">
            <v>100</v>
          </cell>
        </row>
        <row r="20">
          <cell r="X20">
            <v>200</v>
          </cell>
        </row>
        <row r="21">
          <cell r="J21">
            <v>100</v>
          </cell>
        </row>
        <row r="22">
          <cell r="X22">
            <v>200</v>
          </cell>
        </row>
        <row r="24">
          <cell r="J24">
            <v>100</v>
          </cell>
          <cell r="X24">
            <v>200</v>
          </cell>
        </row>
        <row r="26">
          <cell r="J26">
            <v>100</v>
          </cell>
          <cell r="X26">
            <v>200</v>
          </cell>
        </row>
        <row r="28">
          <cell r="J28">
            <v>100</v>
          </cell>
        </row>
        <row r="29">
          <cell r="X29">
            <v>200</v>
          </cell>
        </row>
        <row r="31">
          <cell r="J31">
            <v>100</v>
          </cell>
          <cell r="X31">
            <v>200</v>
          </cell>
        </row>
        <row r="33">
          <cell r="J33">
            <v>100</v>
          </cell>
          <cell r="X33">
            <v>200</v>
          </cell>
        </row>
        <row r="35">
          <cell r="J35">
            <v>100</v>
          </cell>
        </row>
        <row r="36">
          <cell r="X36">
            <v>200</v>
          </cell>
        </row>
      </sheetData>
      <sheetData sheetId="15" refreshError="1">
        <row r="6">
          <cell r="J6">
            <v>50</v>
          </cell>
        </row>
        <row r="7">
          <cell r="Q7">
            <v>50</v>
          </cell>
          <cell r="X7">
            <v>50</v>
          </cell>
        </row>
        <row r="8">
          <cell r="J8">
            <v>50</v>
          </cell>
        </row>
        <row r="9">
          <cell r="Q9">
            <v>50</v>
          </cell>
          <cell r="X9">
            <v>50</v>
          </cell>
        </row>
        <row r="10">
          <cell r="J10">
            <v>50</v>
          </cell>
          <cell r="X10">
            <v>50</v>
          </cell>
        </row>
        <row r="12">
          <cell r="Q12">
            <v>50</v>
          </cell>
          <cell r="X12">
            <v>50</v>
          </cell>
        </row>
        <row r="15">
          <cell r="J15">
            <v>50</v>
          </cell>
          <cell r="Q15">
            <v>50</v>
          </cell>
          <cell r="X15">
            <v>50</v>
          </cell>
        </row>
        <row r="16">
          <cell r="J16">
            <v>50</v>
          </cell>
        </row>
        <row r="17">
          <cell r="Q17">
            <v>50</v>
          </cell>
          <cell r="X17">
            <v>50</v>
          </cell>
        </row>
        <row r="18">
          <cell r="J18">
            <v>50</v>
          </cell>
          <cell r="X18">
            <v>50</v>
          </cell>
        </row>
        <row r="19">
          <cell r="Q19">
            <v>50</v>
          </cell>
        </row>
        <row r="21">
          <cell r="J21">
            <v>50</v>
          </cell>
          <cell r="Q21">
            <v>50</v>
          </cell>
          <cell r="X21">
            <v>50</v>
          </cell>
        </row>
        <row r="23">
          <cell r="J23">
            <v>50</v>
          </cell>
          <cell r="Q23">
            <v>50</v>
          </cell>
          <cell r="X23">
            <v>50</v>
          </cell>
        </row>
        <row r="25">
          <cell r="Q25">
            <v>50</v>
          </cell>
          <cell r="X25">
            <v>50</v>
          </cell>
        </row>
        <row r="26">
          <cell r="J26">
            <v>50</v>
          </cell>
        </row>
        <row r="27">
          <cell r="X27">
            <v>50</v>
          </cell>
        </row>
        <row r="28">
          <cell r="Q28">
            <v>50</v>
          </cell>
        </row>
        <row r="29">
          <cell r="J29">
            <v>50</v>
          </cell>
          <cell r="X29">
            <v>50</v>
          </cell>
        </row>
        <row r="30">
          <cell r="Q30">
            <v>50</v>
          </cell>
        </row>
        <row r="31">
          <cell r="J31">
            <v>50</v>
          </cell>
          <cell r="X31">
            <v>50</v>
          </cell>
        </row>
        <row r="32">
          <cell r="X32">
            <v>50</v>
          </cell>
        </row>
        <row r="33">
          <cell r="J33">
            <v>50</v>
          </cell>
          <cell r="Q33">
            <v>50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kap Neraca Pengelolaan Sampah"/>
      <sheetName val="Rekap Sampah terkelola"/>
      <sheetName val="Rekap area"/>
      <sheetName val="Juli"/>
      <sheetName val="Agustus"/>
      <sheetName val="September"/>
      <sheetName val="Oktober"/>
      <sheetName val="November"/>
      <sheetName val="Desember"/>
      <sheetName val="Januari"/>
      <sheetName val="Februari"/>
      <sheetName val="Maret"/>
      <sheetName val="April"/>
      <sheetName val="Mei"/>
      <sheetName val="Juni"/>
    </sheetNames>
    <sheetDataSet>
      <sheetData sheetId="0"/>
      <sheetData sheetId="1"/>
      <sheetData sheetId="2"/>
      <sheetData sheetId="3"/>
      <sheetData sheetId="4"/>
      <sheetData sheetId="5"/>
      <sheetData sheetId="6">
        <row r="8">
          <cell r="E8">
            <v>120</v>
          </cell>
          <cell r="I8">
            <v>175</v>
          </cell>
          <cell r="M8">
            <v>100</v>
          </cell>
          <cell r="Q8">
            <v>125</v>
          </cell>
          <cell r="Y8">
            <v>115</v>
          </cell>
        </row>
        <row r="9">
          <cell r="E9">
            <v>160</v>
          </cell>
          <cell r="I9">
            <v>172</v>
          </cell>
          <cell r="M9">
            <v>145</v>
          </cell>
          <cell r="Q9">
            <v>115</v>
          </cell>
          <cell r="Y9">
            <v>150</v>
          </cell>
        </row>
        <row r="10">
          <cell r="E10">
            <v>280</v>
          </cell>
          <cell r="I10">
            <v>190</v>
          </cell>
          <cell r="M10">
            <v>80</v>
          </cell>
          <cell r="Q10">
            <v>215</v>
          </cell>
          <cell r="Y10">
            <v>150</v>
          </cell>
        </row>
        <row r="11">
          <cell r="E11">
            <v>145</v>
          </cell>
          <cell r="I11">
            <v>140</v>
          </cell>
          <cell r="M11">
            <v>140</v>
          </cell>
          <cell r="Q11">
            <v>123</v>
          </cell>
          <cell r="Y11">
            <v>130</v>
          </cell>
        </row>
        <row r="12">
          <cell r="E12">
            <v>70</v>
          </cell>
          <cell r="I12">
            <v>55</v>
          </cell>
          <cell r="Q12">
            <v>100</v>
          </cell>
          <cell r="Y12">
            <v>70</v>
          </cell>
        </row>
        <row r="14">
          <cell r="E14">
            <v>158</v>
          </cell>
          <cell r="I14">
            <v>215</v>
          </cell>
          <cell r="M14">
            <v>120</v>
          </cell>
          <cell r="Q14">
            <v>160</v>
          </cell>
          <cell r="Y14">
            <v>165</v>
          </cell>
        </row>
        <row r="15">
          <cell r="E15">
            <v>110</v>
          </cell>
          <cell r="I15">
            <v>130</v>
          </cell>
          <cell r="M15">
            <v>70</v>
          </cell>
          <cell r="Q15">
            <v>175</v>
          </cell>
          <cell r="Y15">
            <v>220</v>
          </cell>
        </row>
        <row r="16">
          <cell r="E16">
            <v>185</v>
          </cell>
          <cell r="I16">
            <v>195</v>
          </cell>
          <cell r="M16">
            <v>85</v>
          </cell>
          <cell r="Q16">
            <v>175</v>
          </cell>
          <cell r="Y16">
            <v>200</v>
          </cell>
        </row>
        <row r="17">
          <cell r="E17">
            <v>295</v>
          </cell>
          <cell r="I17">
            <v>275</v>
          </cell>
          <cell r="M17">
            <v>190</v>
          </cell>
          <cell r="Q17">
            <v>315</v>
          </cell>
          <cell r="Y17">
            <v>250</v>
          </cell>
        </row>
        <row r="18">
          <cell r="E18">
            <v>185</v>
          </cell>
          <cell r="I18">
            <v>210</v>
          </cell>
          <cell r="M18">
            <v>95</v>
          </cell>
          <cell r="Q18">
            <v>228</v>
          </cell>
          <cell r="Y18">
            <v>147</v>
          </cell>
        </row>
        <row r="19">
          <cell r="E19">
            <v>265</v>
          </cell>
          <cell r="I19">
            <v>210</v>
          </cell>
          <cell r="M19">
            <v>95</v>
          </cell>
          <cell r="Q19">
            <v>245</v>
          </cell>
          <cell r="Y19">
            <v>220</v>
          </cell>
        </row>
        <row r="21">
          <cell r="E21">
            <v>197</v>
          </cell>
          <cell r="I21">
            <v>205</v>
          </cell>
          <cell r="M21">
            <v>85</v>
          </cell>
          <cell r="Q21">
            <v>210</v>
          </cell>
          <cell r="Y21">
            <v>175</v>
          </cell>
        </row>
        <row r="22">
          <cell r="E22">
            <v>150</v>
          </cell>
          <cell r="I22">
            <v>340</v>
          </cell>
          <cell r="M22">
            <v>120</v>
          </cell>
          <cell r="Q22">
            <v>198</v>
          </cell>
          <cell r="Y22">
            <v>185</v>
          </cell>
        </row>
        <row r="23">
          <cell r="E23">
            <v>177</v>
          </cell>
          <cell r="I23">
            <v>100</v>
          </cell>
          <cell r="M23">
            <v>65</v>
          </cell>
          <cell r="Q23">
            <v>95</v>
          </cell>
          <cell r="Y23">
            <v>65</v>
          </cell>
        </row>
        <row r="24">
          <cell r="E24">
            <v>100</v>
          </cell>
          <cell r="I24">
            <v>120</v>
          </cell>
          <cell r="M24">
            <v>100</v>
          </cell>
          <cell r="Q24">
            <v>75</v>
          </cell>
          <cell r="Y24">
            <v>100</v>
          </cell>
        </row>
        <row r="25">
          <cell r="E25">
            <v>125</v>
          </cell>
          <cell r="I25">
            <v>160</v>
          </cell>
          <cell r="M25">
            <v>75</v>
          </cell>
          <cell r="Q25">
            <v>150</v>
          </cell>
          <cell r="Y25">
            <v>155</v>
          </cell>
        </row>
        <row r="26">
          <cell r="E26">
            <v>50</v>
          </cell>
          <cell r="I26">
            <v>50</v>
          </cell>
          <cell r="Q26">
            <v>100</v>
          </cell>
          <cell r="Y26">
            <v>70</v>
          </cell>
        </row>
        <row r="28">
          <cell r="E28">
            <v>190</v>
          </cell>
          <cell r="I28">
            <v>150</v>
          </cell>
          <cell r="M28">
            <v>85</v>
          </cell>
          <cell r="Q28">
            <v>170</v>
          </cell>
          <cell r="Y28">
            <v>120</v>
          </cell>
        </row>
        <row r="29">
          <cell r="E29">
            <v>202</v>
          </cell>
          <cell r="I29">
            <v>180</v>
          </cell>
          <cell r="M29">
            <v>95</v>
          </cell>
          <cell r="Q29">
            <v>195</v>
          </cell>
          <cell r="Y29">
            <v>200</v>
          </cell>
        </row>
        <row r="30">
          <cell r="E30">
            <v>148</v>
          </cell>
          <cell r="I30">
            <v>135</v>
          </cell>
          <cell r="M30">
            <v>100</v>
          </cell>
          <cell r="Q30">
            <v>137</v>
          </cell>
          <cell r="Y30">
            <v>200</v>
          </cell>
        </row>
        <row r="31">
          <cell r="E31">
            <v>195</v>
          </cell>
          <cell r="I31">
            <v>205</v>
          </cell>
          <cell r="M31">
            <v>95</v>
          </cell>
          <cell r="Q31">
            <v>190</v>
          </cell>
          <cell r="Y31">
            <v>195</v>
          </cell>
        </row>
        <row r="32">
          <cell r="E32">
            <v>170</v>
          </cell>
          <cell r="I32">
            <v>200</v>
          </cell>
          <cell r="M32">
            <v>150</v>
          </cell>
          <cell r="Q32">
            <v>127</v>
          </cell>
          <cell r="Y32">
            <v>200</v>
          </cell>
        </row>
        <row r="35">
          <cell r="E35">
            <v>225</v>
          </cell>
          <cell r="I35">
            <v>320</v>
          </cell>
          <cell r="M35">
            <v>55</v>
          </cell>
          <cell r="Q35">
            <v>250</v>
          </cell>
          <cell r="Y35">
            <v>175</v>
          </cell>
        </row>
        <row r="36">
          <cell r="E36">
            <v>185</v>
          </cell>
          <cell r="I36">
            <v>155</v>
          </cell>
          <cell r="M36">
            <v>100</v>
          </cell>
          <cell r="Q36">
            <v>185</v>
          </cell>
          <cell r="Y36">
            <v>120</v>
          </cell>
        </row>
        <row r="37">
          <cell r="E37">
            <v>205</v>
          </cell>
          <cell r="I37">
            <v>155</v>
          </cell>
          <cell r="M37">
            <v>100</v>
          </cell>
          <cell r="Q37">
            <v>185</v>
          </cell>
          <cell r="Y37">
            <v>110</v>
          </cell>
        </row>
        <row r="38">
          <cell r="E38">
            <v>140</v>
          </cell>
          <cell r="I38">
            <v>155</v>
          </cell>
          <cell r="M38">
            <v>100</v>
          </cell>
          <cell r="Q38">
            <v>185</v>
          </cell>
          <cell r="Y38">
            <v>160</v>
          </cell>
        </row>
      </sheetData>
      <sheetData sheetId="7">
        <row r="8">
          <cell r="E8">
            <v>190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kap Neraca Pengelolaan Sampah"/>
      <sheetName val="Rekap Sampah terkelola"/>
      <sheetName val="Rekap area"/>
      <sheetName val="Juli"/>
      <sheetName val="Agustus"/>
      <sheetName val="September"/>
      <sheetName val="Oktober"/>
      <sheetName val="November"/>
      <sheetName val="Desember"/>
      <sheetName val="Januari"/>
      <sheetName val="Februari"/>
      <sheetName val="Maret"/>
      <sheetName val="April"/>
      <sheetName val="Mei"/>
      <sheetName val="Jun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9">
          <cell r="E9">
            <v>150</v>
          </cell>
          <cell r="Q9">
            <v>550</v>
          </cell>
        </row>
        <row r="10">
          <cell r="Q10">
            <v>320</v>
          </cell>
        </row>
        <row r="11">
          <cell r="Q11">
            <v>270</v>
          </cell>
        </row>
        <row r="13">
          <cell r="Q13">
            <v>250</v>
          </cell>
        </row>
        <row r="14">
          <cell r="Q14">
            <v>300</v>
          </cell>
        </row>
        <row r="15">
          <cell r="Q15">
            <v>310</v>
          </cell>
        </row>
        <row r="16">
          <cell r="E16">
            <v>50</v>
          </cell>
          <cell r="Q16">
            <v>230</v>
          </cell>
        </row>
        <row r="17">
          <cell r="Q17">
            <v>450</v>
          </cell>
        </row>
        <row r="20">
          <cell r="Q20">
            <v>250</v>
          </cell>
        </row>
        <row r="21">
          <cell r="Q21">
            <v>310</v>
          </cell>
        </row>
        <row r="22">
          <cell r="Q22">
            <v>340</v>
          </cell>
        </row>
        <row r="23">
          <cell r="Q23">
            <v>350</v>
          </cell>
        </row>
        <row r="24">
          <cell r="Q24">
            <v>290</v>
          </cell>
        </row>
        <row r="25">
          <cell r="E25">
            <v>60</v>
          </cell>
          <cell r="Q25">
            <v>200</v>
          </cell>
        </row>
        <row r="27">
          <cell r="Q27">
            <v>200</v>
          </cell>
        </row>
        <row r="28">
          <cell r="Q28">
            <v>130</v>
          </cell>
        </row>
        <row r="29">
          <cell r="Q29">
            <v>231</v>
          </cell>
        </row>
        <row r="30">
          <cell r="Q30">
            <v>233</v>
          </cell>
        </row>
        <row r="31">
          <cell r="Q31">
            <v>422.5</v>
          </cell>
        </row>
        <row r="32">
          <cell r="Q32">
            <v>317</v>
          </cell>
        </row>
        <row r="35">
          <cell r="Q35">
            <v>98</v>
          </cell>
        </row>
        <row r="37">
          <cell r="Q37">
            <v>226</v>
          </cell>
        </row>
        <row r="38">
          <cell r="Q38">
            <v>123.4</v>
          </cell>
        </row>
        <row r="40">
          <cell r="I40">
            <v>7.2279999999999998</v>
          </cell>
        </row>
      </sheetData>
      <sheetData sheetId="10">
        <row r="8">
          <cell r="G8">
            <v>10</v>
          </cell>
        </row>
      </sheetData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kap Neraca Pengelolaan Sampah"/>
      <sheetName val="Rekap Sampah terkelola"/>
      <sheetName val="Rekap area"/>
      <sheetName val="Juli"/>
      <sheetName val="Agustus"/>
      <sheetName val="September"/>
      <sheetName val="Oktober"/>
      <sheetName val="November"/>
      <sheetName val="Desember"/>
      <sheetName val="Januari"/>
      <sheetName val="Februari"/>
      <sheetName val="Maret"/>
      <sheetName val="April"/>
      <sheetName val="Mei"/>
      <sheetName val="Jun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8">
          <cell r="C8">
            <v>5</v>
          </cell>
          <cell r="O8">
            <v>13.9</v>
          </cell>
          <cell r="W8">
            <v>25</v>
          </cell>
        </row>
        <row r="9">
          <cell r="O9">
            <v>4.0999999999999996</v>
          </cell>
        </row>
        <row r="10">
          <cell r="O10">
            <v>14.1</v>
          </cell>
          <cell r="W10">
            <v>25</v>
          </cell>
        </row>
        <row r="11">
          <cell r="O11">
            <v>13.8</v>
          </cell>
          <cell r="W11">
            <v>25</v>
          </cell>
        </row>
        <row r="12">
          <cell r="O12">
            <v>15.1</v>
          </cell>
        </row>
        <row r="13">
          <cell r="O13">
            <v>15.4</v>
          </cell>
        </row>
        <row r="14">
          <cell r="O14">
            <v>4.3</v>
          </cell>
          <cell r="W14">
            <v>25</v>
          </cell>
        </row>
        <row r="15">
          <cell r="O15">
            <v>14.2</v>
          </cell>
          <cell r="W15">
            <v>25</v>
          </cell>
        </row>
        <row r="16">
          <cell r="O16">
            <v>4.8</v>
          </cell>
        </row>
        <row r="17">
          <cell r="O17">
            <v>15.1</v>
          </cell>
          <cell r="W17">
            <v>25</v>
          </cell>
        </row>
        <row r="18">
          <cell r="O18">
            <v>15.2</v>
          </cell>
          <cell r="W18">
            <v>25</v>
          </cell>
        </row>
        <row r="19">
          <cell r="O19">
            <v>14.9</v>
          </cell>
          <cell r="W19">
            <v>25</v>
          </cell>
        </row>
        <row r="20">
          <cell r="O20">
            <v>13.8</v>
          </cell>
          <cell r="W20">
            <v>25</v>
          </cell>
        </row>
        <row r="21">
          <cell r="O21">
            <v>13.5</v>
          </cell>
          <cell r="W21">
            <v>25</v>
          </cell>
        </row>
        <row r="22">
          <cell r="O22">
            <v>13.7</v>
          </cell>
          <cell r="W22">
            <v>25</v>
          </cell>
        </row>
        <row r="23">
          <cell r="O23">
            <v>4.0999999999999996</v>
          </cell>
        </row>
        <row r="24">
          <cell r="O24">
            <v>14.3</v>
          </cell>
          <cell r="W24">
            <v>25</v>
          </cell>
        </row>
        <row r="25">
          <cell r="O25">
            <v>13.5</v>
          </cell>
          <cell r="W25">
            <v>25</v>
          </cell>
        </row>
        <row r="26">
          <cell r="O26">
            <v>3.3</v>
          </cell>
        </row>
        <row r="27">
          <cell r="O27">
            <v>12.9</v>
          </cell>
          <cell r="W27">
            <v>25</v>
          </cell>
        </row>
        <row r="28">
          <cell r="O28">
            <v>14.7</v>
          </cell>
          <cell r="W28">
            <v>25</v>
          </cell>
        </row>
        <row r="29">
          <cell r="O29">
            <v>14.2</v>
          </cell>
          <cell r="W29">
            <v>25</v>
          </cell>
        </row>
        <row r="30">
          <cell r="O30">
            <v>5.6</v>
          </cell>
        </row>
        <row r="31">
          <cell r="O31">
            <v>14.2</v>
          </cell>
          <cell r="W31">
            <v>25</v>
          </cell>
        </row>
        <row r="32">
          <cell r="O32">
            <v>15.1</v>
          </cell>
          <cell r="W32">
            <v>25</v>
          </cell>
        </row>
        <row r="33">
          <cell r="O33">
            <v>14.5</v>
          </cell>
          <cell r="W33">
            <v>25</v>
          </cell>
        </row>
        <row r="34">
          <cell r="O34">
            <v>14.1</v>
          </cell>
          <cell r="W34">
            <v>25</v>
          </cell>
        </row>
        <row r="35">
          <cell r="O35">
            <v>5.7</v>
          </cell>
        </row>
      </sheetData>
      <sheetData sheetId="12">
        <row r="9">
          <cell r="C9">
            <v>10</v>
          </cell>
          <cell r="G9">
            <v>10</v>
          </cell>
          <cell r="W9">
            <v>30</v>
          </cell>
        </row>
        <row r="11">
          <cell r="C11">
            <v>10</v>
          </cell>
          <cell r="G11">
            <v>10</v>
          </cell>
          <cell r="W11">
            <v>30</v>
          </cell>
        </row>
        <row r="12">
          <cell r="G12">
            <v>10</v>
          </cell>
        </row>
        <row r="14">
          <cell r="W14">
            <v>30</v>
          </cell>
        </row>
        <row r="15">
          <cell r="C15">
            <v>10</v>
          </cell>
          <cell r="G15">
            <v>15.2</v>
          </cell>
        </row>
        <row r="16">
          <cell r="G16">
            <v>13.4</v>
          </cell>
        </row>
        <row r="17">
          <cell r="C17">
            <v>10</v>
          </cell>
          <cell r="G17">
            <v>18.100000000000001</v>
          </cell>
          <cell r="W17">
            <v>30</v>
          </cell>
        </row>
        <row r="18">
          <cell r="G18">
            <v>13.4</v>
          </cell>
          <cell r="W18">
            <v>30</v>
          </cell>
        </row>
        <row r="19">
          <cell r="C19">
            <v>10</v>
          </cell>
          <cell r="W19">
            <v>30</v>
          </cell>
        </row>
        <row r="21">
          <cell r="C21">
            <v>10</v>
          </cell>
          <cell r="G21">
            <v>11.8</v>
          </cell>
        </row>
        <row r="22">
          <cell r="C22">
            <v>10</v>
          </cell>
          <cell r="G22">
            <v>10</v>
          </cell>
          <cell r="W22">
            <v>30</v>
          </cell>
        </row>
        <row r="23">
          <cell r="G23">
            <v>14.5</v>
          </cell>
          <cell r="W23">
            <v>30</v>
          </cell>
        </row>
        <row r="24">
          <cell r="C24">
            <v>10</v>
          </cell>
          <cell r="G24">
            <v>13.4</v>
          </cell>
          <cell r="W24">
            <v>30</v>
          </cell>
        </row>
        <row r="26">
          <cell r="C26">
            <v>10</v>
          </cell>
          <cell r="G26">
            <v>10</v>
          </cell>
          <cell r="W26">
            <v>30</v>
          </cell>
        </row>
        <row r="28">
          <cell r="C28">
            <v>10</v>
          </cell>
          <cell r="G28">
            <v>13.3</v>
          </cell>
          <cell r="W28">
            <v>30</v>
          </cell>
        </row>
        <row r="29">
          <cell r="C29">
            <v>10</v>
          </cell>
          <cell r="G29">
            <v>13.1</v>
          </cell>
          <cell r="W29">
            <v>30</v>
          </cell>
        </row>
        <row r="30">
          <cell r="C30">
            <v>10</v>
          </cell>
          <cell r="G30">
            <v>14.8</v>
          </cell>
        </row>
        <row r="31">
          <cell r="C31">
            <v>10</v>
          </cell>
          <cell r="G31">
            <v>15.1</v>
          </cell>
        </row>
        <row r="32">
          <cell r="C32">
            <v>10</v>
          </cell>
          <cell r="G32">
            <v>16.5</v>
          </cell>
          <cell r="W32">
            <v>30</v>
          </cell>
        </row>
        <row r="33">
          <cell r="G33">
            <v>10</v>
          </cell>
          <cell r="W33">
            <v>30</v>
          </cell>
        </row>
        <row r="35">
          <cell r="C35">
            <v>10</v>
          </cell>
          <cell r="G35">
            <v>15.6</v>
          </cell>
          <cell r="W35">
            <v>30</v>
          </cell>
        </row>
        <row r="36">
          <cell r="C36">
            <v>10</v>
          </cell>
          <cell r="G36">
            <v>14.8</v>
          </cell>
          <cell r="W36">
            <v>30</v>
          </cell>
        </row>
        <row r="37">
          <cell r="C37">
            <v>10</v>
          </cell>
          <cell r="G37">
            <v>14.3</v>
          </cell>
        </row>
      </sheetData>
      <sheetData sheetId="13" refreshError="1"/>
      <sheetData sheetId="1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kap Neraca Pengelolaan Sampah"/>
      <sheetName val="Rekap Sampah terkelola"/>
      <sheetName val="Rekap area"/>
      <sheetName val="Juli"/>
      <sheetName val="Agustus"/>
      <sheetName val="September"/>
      <sheetName val="Oktober"/>
      <sheetName val="November"/>
      <sheetName val="Desember"/>
      <sheetName val="Januari"/>
      <sheetName val="Februari"/>
      <sheetName val="Maret"/>
      <sheetName val="April"/>
      <sheetName val="Mei"/>
      <sheetName val="Jun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8">
          <cell r="G8">
            <v>3.1</v>
          </cell>
          <cell r="O8">
            <v>4.7</v>
          </cell>
        </row>
        <row r="9">
          <cell r="C9">
            <v>20</v>
          </cell>
          <cell r="G9">
            <v>12.9</v>
          </cell>
          <cell r="O9">
            <v>23.9</v>
          </cell>
        </row>
        <row r="10">
          <cell r="C10">
            <v>20</v>
          </cell>
          <cell r="G10">
            <v>12.7</v>
          </cell>
          <cell r="O10">
            <v>24.2</v>
          </cell>
        </row>
        <row r="11">
          <cell r="G11">
            <v>3.2</v>
          </cell>
          <cell r="O11">
            <v>3.1</v>
          </cell>
        </row>
        <row r="12">
          <cell r="C12">
            <v>20</v>
          </cell>
          <cell r="G12">
            <v>13.4</v>
          </cell>
          <cell r="O12">
            <v>25.6</v>
          </cell>
        </row>
        <row r="13">
          <cell r="C13">
            <v>20</v>
          </cell>
          <cell r="G13">
            <v>13.7</v>
          </cell>
          <cell r="O13">
            <v>24.2</v>
          </cell>
        </row>
        <row r="14">
          <cell r="C14">
            <v>20</v>
          </cell>
          <cell r="G14">
            <v>12.9</v>
          </cell>
          <cell r="O14">
            <v>23.9</v>
          </cell>
        </row>
        <row r="15">
          <cell r="C15">
            <v>20</v>
          </cell>
          <cell r="G15">
            <v>12.5</v>
          </cell>
          <cell r="O15">
            <v>24.2</v>
          </cell>
        </row>
        <row r="16">
          <cell r="C16">
            <v>20</v>
          </cell>
          <cell r="G16">
            <v>13.8</v>
          </cell>
          <cell r="O16">
            <v>25.1</v>
          </cell>
        </row>
        <row r="17">
          <cell r="C17">
            <v>20</v>
          </cell>
          <cell r="G17">
            <v>13.1</v>
          </cell>
          <cell r="O17">
            <v>24.3</v>
          </cell>
        </row>
        <row r="18">
          <cell r="G18">
            <v>4.2</v>
          </cell>
          <cell r="O18">
            <v>5.0999999999999996</v>
          </cell>
        </row>
        <row r="19">
          <cell r="G19">
            <v>3.8</v>
          </cell>
          <cell r="O19">
            <v>3.8</v>
          </cell>
        </row>
        <row r="20">
          <cell r="C20">
            <v>20</v>
          </cell>
          <cell r="G20">
            <v>14.7</v>
          </cell>
          <cell r="O20">
            <v>25.2</v>
          </cell>
        </row>
        <row r="21">
          <cell r="C21">
            <v>20</v>
          </cell>
          <cell r="G21">
            <v>13.1</v>
          </cell>
          <cell r="O21">
            <v>24.1</v>
          </cell>
        </row>
        <row r="22">
          <cell r="C22">
            <v>20</v>
          </cell>
          <cell r="G22">
            <v>13.4</v>
          </cell>
          <cell r="O22">
            <v>24.3</v>
          </cell>
        </row>
        <row r="23">
          <cell r="C23">
            <v>20</v>
          </cell>
          <cell r="G23">
            <v>13.4</v>
          </cell>
          <cell r="O23">
            <v>25.6</v>
          </cell>
        </row>
        <row r="24">
          <cell r="C24">
            <v>20</v>
          </cell>
          <cell r="G24">
            <v>12.5</v>
          </cell>
          <cell r="O24">
            <v>23.8</v>
          </cell>
        </row>
        <row r="25">
          <cell r="G25">
            <v>2.4</v>
          </cell>
          <cell r="O25">
            <v>25.5</v>
          </cell>
        </row>
        <row r="26">
          <cell r="C26">
            <v>20</v>
          </cell>
          <cell r="G26">
            <v>13.1</v>
          </cell>
          <cell r="O26">
            <v>24.2</v>
          </cell>
        </row>
        <row r="27">
          <cell r="C27">
            <v>20</v>
          </cell>
          <cell r="G27">
            <v>13</v>
          </cell>
          <cell r="O27">
            <v>23.1</v>
          </cell>
        </row>
        <row r="28">
          <cell r="C28">
            <v>20</v>
          </cell>
          <cell r="G28">
            <v>12.9</v>
          </cell>
          <cell r="O28">
            <v>24.2</v>
          </cell>
        </row>
        <row r="29">
          <cell r="C29">
            <v>20</v>
          </cell>
          <cell r="G29">
            <v>13.4</v>
          </cell>
          <cell r="O29">
            <v>23.7</v>
          </cell>
        </row>
        <row r="30">
          <cell r="C30">
            <v>20</v>
          </cell>
          <cell r="G30">
            <v>12.7</v>
          </cell>
          <cell r="O30">
            <v>25.6</v>
          </cell>
        </row>
        <row r="31">
          <cell r="C31">
            <v>20</v>
          </cell>
          <cell r="G31">
            <v>12.9</v>
          </cell>
          <cell r="O31">
            <v>24.5</v>
          </cell>
        </row>
        <row r="32">
          <cell r="G32">
            <v>3</v>
          </cell>
          <cell r="O32">
            <v>3.7</v>
          </cell>
        </row>
        <row r="33">
          <cell r="C33">
            <v>20</v>
          </cell>
          <cell r="G33">
            <v>13.8</v>
          </cell>
          <cell r="O33">
            <v>24.8</v>
          </cell>
        </row>
        <row r="34">
          <cell r="C34">
            <v>20</v>
          </cell>
          <cell r="G34">
            <v>13.1</v>
          </cell>
          <cell r="O34">
            <v>25.6</v>
          </cell>
        </row>
        <row r="35">
          <cell r="C35">
            <v>20</v>
          </cell>
          <cell r="G35">
            <v>12.8</v>
          </cell>
          <cell r="O35">
            <v>25.8</v>
          </cell>
        </row>
        <row r="36">
          <cell r="G36">
            <v>3.4</v>
          </cell>
          <cell r="O36">
            <v>4.2</v>
          </cell>
        </row>
        <row r="37">
          <cell r="C37">
            <v>20</v>
          </cell>
          <cell r="G37">
            <v>3.5</v>
          </cell>
          <cell r="O37">
            <v>24.3</v>
          </cell>
        </row>
        <row r="38">
          <cell r="C38">
            <v>20</v>
          </cell>
          <cell r="G38">
            <v>3.7</v>
          </cell>
          <cell r="O38">
            <v>24.1</v>
          </cell>
        </row>
      </sheetData>
      <sheetData sheetId="1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kap Neraca Pengelolaan Sampah"/>
      <sheetName val="Rekap Sampah terkelola"/>
      <sheetName val="Rekap area"/>
      <sheetName val="Juli"/>
      <sheetName val="Agustus"/>
      <sheetName val="September"/>
      <sheetName val="Oktober"/>
      <sheetName val="November"/>
      <sheetName val="Desember"/>
      <sheetName val="Januari"/>
      <sheetName val="Februari"/>
      <sheetName val="Maret"/>
      <sheetName val="April"/>
      <sheetName val="Mei"/>
      <sheetName val="Jun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9">
          <cell r="C9">
            <v>2.5</v>
          </cell>
          <cell r="G9">
            <v>2.8</v>
          </cell>
          <cell r="O9">
            <v>1.8</v>
          </cell>
        </row>
        <row r="10">
          <cell r="C10">
            <v>1.5</v>
          </cell>
          <cell r="G10">
            <v>2.2999999999999998</v>
          </cell>
          <cell r="O10">
            <v>1.6</v>
          </cell>
        </row>
        <row r="11">
          <cell r="C11">
            <v>2.1</v>
          </cell>
          <cell r="G11">
            <v>2.6</v>
          </cell>
          <cell r="O11">
            <v>1.7</v>
          </cell>
        </row>
        <row r="12">
          <cell r="C12">
            <v>2.4</v>
          </cell>
          <cell r="G12">
            <v>2.1</v>
          </cell>
          <cell r="O12">
            <v>1.5</v>
          </cell>
        </row>
        <row r="14">
          <cell r="G14">
            <v>2.1</v>
          </cell>
        </row>
        <row r="15">
          <cell r="G15">
            <v>2.8</v>
          </cell>
        </row>
        <row r="16">
          <cell r="G16">
            <v>1.5</v>
          </cell>
        </row>
        <row r="17">
          <cell r="C17">
            <v>2.1</v>
          </cell>
          <cell r="G17">
            <v>1.8</v>
          </cell>
          <cell r="O17">
            <v>2.4</v>
          </cell>
        </row>
        <row r="18">
          <cell r="C18">
            <v>1.7</v>
          </cell>
          <cell r="G18">
            <v>1.5</v>
          </cell>
          <cell r="O18">
            <v>1.4</v>
          </cell>
        </row>
        <row r="19">
          <cell r="C19">
            <v>2.5</v>
          </cell>
          <cell r="G19">
            <v>1.7</v>
          </cell>
          <cell r="O19">
            <v>2.1</v>
          </cell>
        </row>
        <row r="20">
          <cell r="C20">
            <v>2.4</v>
          </cell>
          <cell r="G20">
            <v>2.1</v>
          </cell>
          <cell r="O20">
            <v>1.5</v>
          </cell>
        </row>
        <row r="21">
          <cell r="G21">
            <v>2.5</v>
          </cell>
          <cell r="O21">
            <v>1.9</v>
          </cell>
        </row>
        <row r="22">
          <cell r="G22">
            <v>1.9</v>
          </cell>
        </row>
        <row r="23">
          <cell r="C23">
            <v>2.6</v>
          </cell>
          <cell r="G23">
            <v>2.4</v>
          </cell>
          <cell r="O23">
            <v>2.2999999999999998</v>
          </cell>
        </row>
        <row r="24">
          <cell r="C24">
            <v>2.2999999999999998</v>
          </cell>
          <cell r="G24">
            <v>2.4</v>
          </cell>
          <cell r="O24">
            <v>1.8</v>
          </cell>
        </row>
        <row r="25">
          <cell r="C25">
            <v>2.5</v>
          </cell>
          <cell r="G25">
            <v>2.2999999999999998</v>
          </cell>
          <cell r="O25">
            <v>1.9</v>
          </cell>
        </row>
        <row r="26">
          <cell r="C26">
            <v>2.2999999999999998</v>
          </cell>
          <cell r="G26">
            <v>1.8</v>
          </cell>
          <cell r="O26">
            <v>1.5</v>
          </cell>
        </row>
        <row r="27">
          <cell r="C27">
            <v>2.2999999999999998</v>
          </cell>
          <cell r="G27">
            <v>1.5</v>
          </cell>
          <cell r="O27">
            <v>2.2000000000000002</v>
          </cell>
        </row>
        <row r="28">
          <cell r="G28">
            <v>1.8</v>
          </cell>
          <cell r="O28">
            <v>2.1</v>
          </cell>
        </row>
        <row r="30">
          <cell r="C30">
            <v>2.4</v>
          </cell>
          <cell r="G30">
            <v>2.1</v>
          </cell>
          <cell r="O30">
            <v>1.5</v>
          </cell>
        </row>
        <row r="31">
          <cell r="C31">
            <v>2.2000000000000002</v>
          </cell>
          <cell r="G31">
            <v>1.9</v>
          </cell>
          <cell r="O31">
            <v>1.9</v>
          </cell>
        </row>
        <row r="32">
          <cell r="C32">
            <v>2.2999999999999998</v>
          </cell>
          <cell r="G32">
            <v>2.1</v>
          </cell>
          <cell r="O32">
            <v>2.1</v>
          </cell>
        </row>
        <row r="33">
          <cell r="C33">
            <v>2.1</v>
          </cell>
          <cell r="G33">
            <v>1.8</v>
          </cell>
          <cell r="O33">
            <v>1.3</v>
          </cell>
        </row>
        <row r="35">
          <cell r="G35">
            <v>2.1</v>
          </cell>
          <cell r="O35">
            <v>2.5</v>
          </cell>
        </row>
        <row r="37">
          <cell r="C37">
            <v>2.2999999999999998</v>
          </cell>
          <cell r="G37">
            <v>1.9</v>
          </cell>
          <cell r="O37">
            <v>2.4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43EF5-5527-48A0-865B-184CAAF5BF25}">
  <sheetPr codeName="Sheet19">
    <tabColor theme="9" tint="0.59999389629810485"/>
    <pageSetUpPr fitToPage="1"/>
  </sheetPr>
  <dimension ref="A1:S26"/>
  <sheetViews>
    <sheetView tabSelected="1" view="pageBreakPreview" topLeftCell="A6" zoomScale="67" zoomScaleNormal="94" zoomScaleSheetLayoutView="70" workbookViewId="0">
      <selection activeCell="H13" sqref="H13"/>
    </sheetView>
  </sheetViews>
  <sheetFormatPr defaultColWidth="9.140625" defaultRowHeight="20.25" x14ac:dyDescent="0.3"/>
  <cols>
    <col min="1" max="1" width="5.5703125" style="197" bestFit="1" customWidth="1"/>
    <col min="2" max="2" width="11.85546875" style="197" customWidth="1"/>
    <col min="3" max="3" width="21.140625" style="197" customWidth="1"/>
    <col min="4" max="11" width="14.28515625" style="197" customWidth="1"/>
    <col min="12" max="12" width="2.140625" style="197" customWidth="1"/>
    <col min="13" max="13" width="7.85546875" style="197" customWidth="1"/>
    <col min="14" max="62" width="22.140625" style="197" customWidth="1"/>
    <col min="63" max="16384" width="9.140625" style="197"/>
  </cols>
  <sheetData>
    <row r="1" spans="1:19" s="202" customFormat="1" ht="18" x14ac:dyDescent="0.25">
      <c r="A1" s="204" t="s">
        <v>106</v>
      </c>
      <c r="B1" s="204"/>
      <c r="C1" s="204"/>
      <c r="D1" s="204"/>
      <c r="E1" s="205"/>
      <c r="F1" s="205"/>
    </row>
    <row r="2" spans="1:19" s="202" customFormat="1" ht="18" x14ac:dyDescent="0.25">
      <c r="A2" s="204" t="s">
        <v>89</v>
      </c>
      <c r="B2" s="204"/>
      <c r="C2" s="207" t="s">
        <v>135</v>
      </c>
      <c r="D2" s="254">
        <v>2024</v>
      </c>
      <c r="E2" s="206" t="s">
        <v>64</v>
      </c>
      <c r="F2" s="207" t="s">
        <v>136</v>
      </c>
      <c r="G2" s="254">
        <v>2025</v>
      </c>
    </row>
    <row r="3" spans="1:19" s="202" customFormat="1" ht="18" x14ac:dyDescent="0.25">
      <c r="A3" s="204" t="s">
        <v>127</v>
      </c>
      <c r="B3" s="204"/>
      <c r="C3" s="255" t="s">
        <v>148</v>
      </c>
      <c r="D3" s="204"/>
      <c r="E3" s="205"/>
      <c r="F3" s="205"/>
    </row>
    <row r="4" spans="1:19" s="202" customFormat="1" ht="18" x14ac:dyDescent="0.25">
      <c r="A4" s="201"/>
    </row>
    <row r="5" spans="1:19" s="203" customFormat="1" ht="26.45" customHeight="1" x14ac:dyDescent="0.25">
      <c r="A5" s="272" t="s">
        <v>0</v>
      </c>
      <c r="B5" s="276" t="s">
        <v>81</v>
      </c>
      <c r="C5" s="277"/>
      <c r="D5" s="273" t="s">
        <v>80</v>
      </c>
      <c r="E5" s="267" t="s">
        <v>105</v>
      </c>
      <c r="F5" s="268"/>
      <c r="G5" s="268"/>
      <c r="H5" s="268"/>
      <c r="I5" s="268"/>
      <c r="J5" s="268"/>
      <c r="K5" s="269"/>
    </row>
    <row r="6" spans="1:19" s="203" customFormat="1" ht="161.44999999999999" customHeight="1" x14ac:dyDescent="0.25">
      <c r="A6" s="272"/>
      <c r="B6" s="278"/>
      <c r="C6" s="279"/>
      <c r="D6" s="273"/>
      <c r="E6" s="231" t="s">
        <v>86</v>
      </c>
      <c r="F6" s="231" t="s">
        <v>139</v>
      </c>
      <c r="G6" s="232" t="s">
        <v>128</v>
      </c>
      <c r="H6" s="235" t="s">
        <v>129</v>
      </c>
      <c r="I6" s="231" t="s">
        <v>140</v>
      </c>
      <c r="J6" s="232" t="s">
        <v>141</v>
      </c>
      <c r="K6" s="232" t="s">
        <v>142</v>
      </c>
    </row>
    <row r="7" spans="1:19" s="200" customFormat="1" ht="30" customHeight="1" x14ac:dyDescent="0.25">
      <c r="A7" s="57">
        <v>1</v>
      </c>
      <c r="B7" s="274" t="s">
        <v>109</v>
      </c>
      <c r="C7" s="275"/>
      <c r="D7" s="228">
        <f t="shared" ref="D7:D12" si="0">E7+F7+I7</f>
        <v>68.975790000000018</v>
      </c>
      <c r="E7" s="229">
        <f>'Rekap area'!D20</f>
        <v>37.122500000000002</v>
      </c>
      <c r="F7" s="229">
        <f>'Rekap area'!E20</f>
        <v>4.01729</v>
      </c>
      <c r="G7" s="233">
        <f>E7+F7</f>
        <v>41.139790000000005</v>
      </c>
      <c r="H7" s="234">
        <f>G7/D7</f>
        <v>0.59643811256094337</v>
      </c>
      <c r="I7" s="230">
        <f>'Rekap area'!F20</f>
        <v>27.836000000000006</v>
      </c>
      <c r="J7" s="233">
        <f>I7</f>
        <v>27.836000000000006</v>
      </c>
      <c r="K7" s="234">
        <f t="shared" ref="K7:K13" si="1">J7/D7</f>
        <v>0.40356188743905647</v>
      </c>
    </row>
    <row r="8" spans="1:19" s="200" customFormat="1" ht="30" customHeight="1" x14ac:dyDescent="0.25">
      <c r="A8" s="57">
        <v>2</v>
      </c>
      <c r="B8" s="274" t="s">
        <v>123</v>
      </c>
      <c r="C8" s="275"/>
      <c r="D8" s="228">
        <f t="shared" si="0"/>
        <v>168.83385200000001</v>
      </c>
      <c r="E8" s="229">
        <f>'Rekap area'!H20</f>
        <v>99.973600000000005</v>
      </c>
      <c r="F8" s="229">
        <f>'Rekap area'!I20</f>
        <v>5.0020240000000005</v>
      </c>
      <c r="G8" s="233">
        <f t="shared" ref="G8:G12" si="2">E8+F8</f>
        <v>104.97562400000001</v>
      </c>
      <c r="H8" s="234">
        <f t="shared" ref="H8:H13" si="3">G8/D8</f>
        <v>0.62176881446737353</v>
      </c>
      <c r="I8" s="230">
        <f>'Rekap area'!J20</f>
        <v>63.858228000000004</v>
      </c>
      <c r="J8" s="233">
        <f t="shared" ref="J8:J12" si="4">I8</f>
        <v>63.858228000000004</v>
      </c>
      <c r="K8" s="234">
        <f t="shared" si="1"/>
        <v>0.37823118553262647</v>
      </c>
    </row>
    <row r="9" spans="1:19" s="200" customFormat="1" ht="30" customHeight="1" x14ac:dyDescent="0.25">
      <c r="A9" s="57">
        <v>3</v>
      </c>
      <c r="B9" s="274" t="s">
        <v>111</v>
      </c>
      <c r="C9" s="275"/>
      <c r="D9" s="228">
        <f t="shared" si="0"/>
        <v>47.809440000000002</v>
      </c>
      <c r="E9" s="229">
        <f>'Rekap area'!L20</f>
        <v>27.2483</v>
      </c>
      <c r="F9" s="229">
        <f>'Rekap area'!M20</f>
        <v>3.0716399999999999</v>
      </c>
      <c r="G9" s="233">
        <f t="shared" si="2"/>
        <v>30.319939999999999</v>
      </c>
      <c r="H9" s="234">
        <f t="shared" si="3"/>
        <v>0.63418312366762708</v>
      </c>
      <c r="I9" s="230">
        <f>'Rekap area'!N20</f>
        <v>17.489500000000003</v>
      </c>
      <c r="J9" s="233">
        <f t="shared" si="4"/>
        <v>17.489500000000003</v>
      </c>
      <c r="K9" s="234">
        <f t="shared" si="1"/>
        <v>0.36581687633237292</v>
      </c>
    </row>
    <row r="10" spans="1:19" s="200" customFormat="1" ht="30" customHeight="1" x14ac:dyDescent="0.25">
      <c r="A10" s="57">
        <v>4</v>
      </c>
      <c r="B10" s="274" t="s">
        <v>115</v>
      </c>
      <c r="C10" s="275"/>
      <c r="D10" s="228">
        <f t="shared" si="0"/>
        <v>259.28451999999999</v>
      </c>
      <c r="E10" s="229">
        <f>'Rekap area'!P20</f>
        <v>140.07773999999998</v>
      </c>
      <c r="F10" s="229">
        <f>'Rekap area'!Q20</f>
        <v>11.26788</v>
      </c>
      <c r="G10" s="233">
        <f t="shared" si="2"/>
        <v>151.34561999999997</v>
      </c>
      <c r="H10" s="234">
        <f t="shared" si="3"/>
        <v>0.58370480428218385</v>
      </c>
      <c r="I10" s="230">
        <f>'Rekap area'!R20</f>
        <v>107.9389</v>
      </c>
      <c r="J10" s="233">
        <f t="shared" si="4"/>
        <v>107.9389</v>
      </c>
      <c r="K10" s="234">
        <f t="shared" si="1"/>
        <v>0.41629519571781615</v>
      </c>
    </row>
    <row r="11" spans="1:19" s="200" customFormat="1" ht="30" customHeight="1" x14ac:dyDescent="0.25">
      <c r="A11" s="57">
        <v>5</v>
      </c>
      <c r="B11" s="274" t="s">
        <v>124</v>
      </c>
      <c r="C11" s="275"/>
      <c r="D11" s="228">
        <f t="shared" si="0"/>
        <v>84.250200000000007</v>
      </c>
      <c r="E11" s="229">
        <f>'Rekap area'!T20</f>
        <v>48.660999999999994</v>
      </c>
      <c r="F11" s="229">
        <f>'Rekap area'!U20</f>
        <v>3.4921999999999991</v>
      </c>
      <c r="G11" s="233">
        <f t="shared" si="2"/>
        <v>52.153199999999991</v>
      </c>
      <c r="H11" s="234">
        <f t="shared" si="3"/>
        <v>0.61902761061694789</v>
      </c>
      <c r="I11" s="230">
        <f>'Rekap area'!V20</f>
        <v>32.097000000000008</v>
      </c>
      <c r="J11" s="233">
        <f t="shared" si="4"/>
        <v>32.097000000000008</v>
      </c>
      <c r="K11" s="234">
        <f t="shared" si="1"/>
        <v>0.380972389383052</v>
      </c>
    </row>
    <row r="12" spans="1:19" s="200" customFormat="1" ht="30" customHeight="1" x14ac:dyDescent="0.25">
      <c r="A12" s="57">
        <v>6</v>
      </c>
      <c r="B12" s="280" t="s">
        <v>84</v>
      </c>
      <c r="C12" s="281"/>
      <c r="D12" s="228">
        <f t="shared" si="0"/>
        <v>50.254960000000011</v>
      </c>
      <c r="E12" s="229">
        <f>'Rekap area'!X20</f>
        <v>22.673000000000002</v>
      </c>
      <c r="F12" s="229">
        <f>'Rekap area'!Y20</f>
        <v>9.06996</v>
      </c>
      <c r="G12" s="233">
        <f t="shared" si="2"/>
        <v>31.742960000000004</v>
      </c>
      <c r="H12" s="234">
        <f t="shared" si="3"/>
        <v>0.63163834972707167</v>
      </c>
      <c r="I12" s="230">
        <f>'Rekap area'!Z20</f>
        <v>18.512000000000004</v>
      </c>
      <c r="J12" s="233">
        <f t="shared" si="4"/>
        <v>18.512000000000004</v>
      </c>
      <c r="K12" s="234">
        <f t="shared" si="1"/>
        <v>0.36836165027292828</v>
      </c>
    </row>
    <row r="13" spans="1:19" s="199" customFormat="1" x14ac:dyDescent="0.25">
      <c r="A13" s="236"/>
      <c r="B13" s="270" t="s">
        <v>82</v>
      </c>
      <c r="C13" s="271"/>
      <c r="D13" s="237">
        <f>SUM(D7:D12)</f>
        <v>679.40876200000002</v>
      </c>
      <c r="E13" s="238">
        <f>SUM(E7:E12)</f>
        <v>375.75614000000002</v>
      </c>
      <c r="F13" s="238">
        <f>SUM(F7:F12)</f>
        <v>35.920994</v>
      </c>
      <c r="G13" s="238">
        <f>SUM(G7:G12)</f>
        <v>411.67713399999997</v>
      </c>
      <c r="H13" s="239">
        <f t="shared" si="3"/>
        <v>0.60593439034864838</v>
      </c>
      <c r="I13" s="238">
        <f>SUM(I7:I12)</f>
        <v>267.73162800000006</v>
      </c>
      <c r="J13" s="238">
        <f>SUM(J7:J12)</f>
        <v>267.73162800000006</v>
      </c>
      <c r="K13" s="239">
        <f t="shared" si="1"/>
        <v>0.39406560965135162</v>
      </c>
    </row>
    <row r="14" spans="1:19" x14ac:dyDescent="0.3">
      <c r="A14" s="131"/>
      <c r="B14" s="131"/>
      <c r="C14" s="131"/>
      <c r="D14" s="131"/>
      <c r="E14" s="131"/>
      <c r="F14" s="131"/>
      <c r="G14" s="131"/>
      <c r="H14" s="131"/>
      <c r="I14" s="131"/>
      <c r="J14" s="131"/>
      <c r="K14" s="131"/>
    </row>
    <row r="15" spans="1:19" x14ac:dyDescent="0.3">
      <c r="A15" s="192"/>
      <c r="B15" s="192"/>
      <c r="C15" s="194" t="s">
        <v>43</v>
      </c>
      <c r="D15" s="194"/>
      <c r="E15" s="194"/>
      <c r="F15" s="194"/>
      <c r="G15" s="195"/>
      <c r="H15" s="192"/>
      <c r="I15" s="195" t="s">
        <v>46</v>
      </c>
      <c r="J15" s="193"/>
      <c r="K15" s="192"/>
      <c r="L15" s="198"/>
      <c r="M15" s="198"/>
      <c r="Q15" s="198"/>
      <c r="R15" s="198"/>
      <c r="S15" s="198"/>
    </row>
    <row r="16" spans="1:19" x14ac:dyDescent="0.3">
      <c r="A16" s="192"/>
      <c r="B16" s="192"/>
      <c r="C16" s="194" t="s">
        <v>48</v>
      </c>
      <c r="D16" s="194"/>
      <c r="E16" s="194"/>
      <c r="F16" s="194"/>
      <c r="G16" s="194"/>
      <c r="H16" s="192"/>
      <c r="I16" s="194" t="s">
        <v>49</v>
      </c>
      <c r="J16" s="193"/>
      <c r="K16" s="192"/>
      <c r="L16" s="198"/>
      <c r="M16" s="198"/>
      <c r="Q16" s="198"/>
      <c r="R16" s="198"/>
      <c r="S16" s="198"/>
    </row>
    <row r="17" spans="1:19" x14ac:dyDescent="0.3">
      <c r="A17" s="192"/>
      <c r="B17" s="192"/>
      <c r="C17" s="194"/>
      <c r="D17" s="194"/>
      <c r="E17" s="194"/>
      <c r="F17" s="194"/>
      <c r="G17" s="194"/>
      <c r="H17" s="192"/>
      <c r="I17" s="194"/>
      <c r="J17" s="193"/>
      <c r="K17" s="192"/>
      <c r="L17" s="198"/>
      <c r="M17" s="198"/>
      <c r="Q17" s="198"/>
      <c r="R17" s="198"/>
      <c r="S17" s="198"/>
    </row>
    <row r="18" spans="1:19" x14ac:dyDescent="0.3">
      <c r="A18" s="192"/>
      <c r="B18" s="192"/>
      <c r="C18" s="194" t="s">
        <v>138</v>
      </c>
      <c r="D18" s="194"/>
      <c r="E18" s="194"/>
      <c r="F18" s="194"/>
      <c r="G18" s="194"/>
      <c r="H18" s="192"/>
      <c r="I18" s="194" t="s">
        <v>137</v>
      </c>
      <c r="J18" s="193"/>
      <c r="K18" s="192"/>
      <c r="L18" s="198"/>
      <c r="M18" s="198"/>
      <c r="Q18" s="198"/>
      <c r="R18" s="198"/>
      <c r="S18" s="198"/>
    </row>
    <row r="19" spans="1:19" x14ac:dyDescent="0.3">
      <c r="A19" s="192"/>
      <c r="B19" s="192"/>
      <c r="C19" s="194"/>
      <c r="D19" s="194"/>
      <c r="E19" s="194"/>
      <c r="F19" s="194"/>
      <c r="G19" s="194"/>
      <c r="H19" s="192"/>
      <c r="I19" s="194"/>
      <c r="J19" s="193"/>
      <c r="K19" s="192"/>
      <c r="L19" s="198"/>
      <c r="M19" s="198"/>
      <c r="Q19" s="198"/>
      <c r="R19" s="198"/>
      <c r="S19" s="198"/>
    </row>
    <row r="20" spans="1:19" x14ac:dyDescent="0.3">
      <c r="A20" s="192"/>
      <c r="B20" s="192"/>
      <c r="C20" s="194" t="s">
        <v>44</v>
      </c>
      <c r="D20" s="194"/>
      <c r="E20" s="194"/>
      <c r="F20" s="194"/>
      <c r="G20" s="194"/>
      <c r="H20" s="192"/>
      <c r="I20" s="194" t="s">
        <v>47</v>
      </c>
      <c r="J20" s="193"/>
      <c r="K20" s="192"/>
      <c r="L20" s="198"/>
      <c r="M20" s="198"/>
      <c r="Q20" s="198"/>
      <c r="R20" s="198"/>
      <c r="S20" s="198"/>
    </row>
    <row r="21" spans="1:19" ht="15.95" customHeight="1" x14ac:dyDescent="0.3">
      <c r="A21" s="193"/>
      <c r="B21" s="196"/>
      <c r="C21" s="194" t="s">
        <v>45</v>
      </c>
      <c r="D21" s="194"/>
      <c r="E21" s="194"/>
      <c r="F21" s="194"/>
      <c r="G21" s="194"/>
      <c r="H21" s="196"/>
      <c r="I21" s="194" t="s">
        <v>45</v>
      </c>
      <c r="J21" s="193"/>
      <c r="K21" s="196"/>
      <c r="L21" s="198"/>
      <c r="M21" s="198"/>
      <c r="Q21" s="198"/>
      <c r="R21" s="198"/>
      <c r="S21" s="198"/>
    </row>
    <row r="23" spans="1:19" x14ac:dyDescent="0.3">
      <c r="A23" s="256" t="s">
        <v>77</v>
      </c>
      <c r="B23" s="131" t="s">
        <v>132</v>
      </c>
    </row>
    <row r="26" spans="1:19" x14ac:dyDescent="0.3">
      <c r="E26" s="131"/>
      <c r="F26" s="131"/>
    </row>
  </sheetData>
  <sheetProtection algorithmName="SHA-512" hashValue="q9qM5P8/ObGAiXDId8hBD5qy7nqnOvSYMVzUkPpuqze4NaO5c/csQYtzRMe3EcqgGTuoapY8xiG9z0Myz9KgTw==" saltValue="nMOIKPithJn0Or452mz/Rw==" spinCount="100000" sheet="1" objects="1" scenarios="1" formatColumns="0" formatRows="0"/>
  <mergeCells count="11">
    <mergeCell ref="E5:K5"/>
    <mergeCell ref="B13:C13"/>
    <mergeCell ref="A5:A6"/>
    <mergeCell ref="D5:D6"/>
    <mergeCell ref="B11:C11"/>
    <mergeCell ref="B5:C6"/>
    <mergeCell ref="B10:C10"/>
    <mergeCell ref="B7:C7"/>
    <mergeCell ref="B8:C8"/>
    <mergeCell ref="B9:C9"/>
    <mergeCell ref="B12:C12"/>
  </mergeCells>
  <printOptions horizontalCentered="1"/>
  <pageMargins left="0.19685039370078741" right="0.19685039370078741" top="0.39370078740157483" bottom="0.39370078740157483" header="0.11811023622047245" footer="0.11811023622047245"/>
  <pageSetup paperSize="9" scale="8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03788-FB24-42F1-9317-EA0C943C58BC}">
  <sheetPr codeName="Sheet16">
    <tabColor theme="9" tint="0.59999389629810485"/>
    <pageSetUpPr fitToPage="1"/>
  </sheetPr>
  <dimension ref="A1:AD35"/>
  <sheetViews>
    <sheetView view="pageBreakPreview" topLeftCell="A7" zoomScale="70" zoomScaleNormal="95" zoomScaleSheetLayoutView="70" workbookViewId="0">
      <selection activeCell="F16" sqref="F16"/>
    </sheetView>
  </sheetViews>
  <sheetFormatPr defaultColWidth="9.140625" defaultRowHeight="20.25" x14ac:dyDescent="0.3"/>
  <cols>
    <col min="1" max="1" width="5.5703125" style="197" bestFit="1" customWidth="1"/>
    <col min="2" max="2" width="18.28515625" style="197" customWidth="1"/>
    <col min="3" max="3" width="14.140625" style="197" customWidth="1"/>
    <col min="4" max="4" width="29.140625" style="197" customWidth="1"/>
    <col min="5" max="5" width="31.85546875" style="197" customWidth="1"/>
    <col min="6" max="6" width="27.28515625" style="197" bestFit="1" customWidth="1"/>
    <col min="7" max="7" width="20.42578125" style="197" customWidth="1"/>
    <col min="8" max="8" width="4.28515625" style="197" customWidth="1"/>
    <col min="9" max="9" width="5.140625" style="197" customWidth="1"/>
    <col min="10" max="73" width="22.140625" style="197" customWidth="1"/>
    <col min="74" max="16384" width="9.140625" style="197"/>
  </cols>
  <sheetData>
    <row r="1" spans="1:10" s="202" customFormat="1" ht="18" x14ac:dyDescent="0.25">
      <c r="A1" s="209" t="s">
        <v>104</v>
      </c>
      <c r="B1" s="209"/>
      <c r="C1" s="209"/>
      <c r="D1" s="210"/>
      <c r="E1" s="210"/>
    </row>
    <row r="2" spans="1:10" s="202" customFormat="1" ht="18" x14ac:dyDescent="0.25">
      <c r="A2" s="209" t="s">
        <v>107</v>
      </c>
      <c r="B2" s="209"/>
      <c r="C2" s="209"/>
      <c r="D2" s="210"/>
      <c r="E2" s="210"/>
    </row>
    <row r="3" spans="1:10" s="202" customFormat="1" ht="18" x14ac:dyDescent="0.25">
      <c r="A3" s="204" t="s">
        <v>89</v>
      </c>
      <c r="B3" s="204"/>
      <c r="C3" s="207" t="s">
        <v>135</v>
      </c>
      <c r="D3" s="218">
        <f>'Rekap Neraca Pengelolaan Sampah'!D2</f>
        <v>2024</v>
      </c>
      <c r="E3" s="206" t="s">
        <v>64</v>
      </c>
      <c r="F3" s="207" t="s">
        <v>136</v>
      </c>
      <c r="G3" s="218">
        <f>'Rekap Neraca Pengelolaan Sampah'!G2</f>
        <v>2025</v>
      </c>
    </row>
    <row r="4" spans="1:10" s="202" customFormat="1" ht="18" x14ac:dyDescent="0.25">
      <c r="A4" s="204" t="s">
        <v>127</v>
      </c>
      <c r="B4" s="204"/>
      <c r="C4" s="204" t="str">
        <f>'Rekap Neraca Pengelolaan Sampah'!C3</f>
        <v>PT PELINDO DAYA SEJAHTERA</v>
      </c>
      <c r="D4" s="204"/>
      <c r="E4" s="205"/>
      <c r="F4" s="205"/>
    </row>
    <row r="5" spans="1:10" s="202" customFormat="1" ht="18" x14ac:dyDescent="0.25"/>
    <row r="6" spans="1:10" s="203" customFormat="1" ht="30.6" customHeight="1" x14ac:dyDescent="0.25">
      <c r="A6" s="288" t="s">
        <v>0</v>
      </c>
      <c r="B6" s="288" t="s">
        <v>41</v>
      </c>
      <c r="C6" s="289" t="s">
        <v>42</v>
      </c>
      <c r="D6" s="282" t="s">
        <v>1</v>
      </c>
      <c r="E6" s="283"/>
      <c r="F6" s="284"/>
      <c r="G6" s="286" t="s">
        <v>79</v>
      </c>
      <c r="H6" s="211"/>
      <c r="I6" s="211"/>
      <c r="J6" s="211"/>
    </row>
    <row r="7" spans="1:10" s="203" customFormat="1" ht="70.5" customHeight="1" x14ac:dyDescent="0.25">
      <c r="A7" s="288"/>
      <c r="B7" s="288"/>
      <c r="C7" s="289"/>
      <c r="D7" s="240" t="s">
        <v>78</v>
      </c>
      <c r="E7" s="240" t="s">
        <v>112</v>
      </c>
      <c r="F7" s="240" t="s">
        <v>143</v>
      </c>
      <c r="G7" s="287"/>
      <c r="H7" s="211"/>
      <c r="I7" s="211"/>
      <c r="J7" s="211"/>
    </row>
    <row r="8" spans="1:10" x14ac:dyDescent="0.3">
      <c r="A8" s="250">
        <v>1</v>
      </c>
      <c r="B8" s="251" t="s">
        <v>62</v>
      </c>
      <c r="C8" s="248">
        <f>$D$3</f>
        <v>2024</v>
      </c>
      <c r="D8" s="249">
        <f>'Rekap area'!D8+'Rekap area'!H8+'Rekap area'!L8+'Rekap area'!P8+'Rekap area'!T8+'Rekap area'!X8</f>
        <v>59.464400000000005</v>
      </c>
      <c r="E8" s="249">
        <f>'Rekap area'!E8+'Rekap area'!I8+'Rekap area'!M8+'Rekap area'!Q8+'Rekap area'!U8+'Rekap area'!Y8</f>
        <v>10.354968</v>
      </c>
      <c r="F8" s="249">
        <f>'Rekap area'!F8+'Rekap area'!J8+'Rekap area'!N8+'Rekap area'!R8+'Rekap area'!V8+'Rekap area'!Z8</f>
        <v>26.97</v>
      </c>
      <c r="G8" s="244">
        <f>SUM(D8:F8)</f>
        <v>96.789367999999996</v>
      </c>
      <c r="H8" s="131"/>
      <c r="I8" s="131"/>
      <c r="J8" s="131"/>
    </row>
    <row r="9" spans="1:10" x14ac:dyDescent="0.3">
      <c r="A9" s="250">
        <v>2</v>
      </c>
      <c r="B9" s="251" t="s">
        <v>65</v>
      </c>
      <c r="C9" s="248">
        <f t="shared" ref="C9:C13" si="0">$D$3</f>
        <v>2024</v>
      </c>
      <c r="D9" s="249">
        <f>'Rekap area'!D9+'Rekap area'!H9+'Rekap area'!L9+'Rekap area'!P9+'Rekap area'!T9+'Rekap area'!X9</f>
        <v>44.941599999999994</v>
      </c>
      <c r="E9" s="249">
        <f>'Rekap area'!E9+'Rekap area'!I9+'Rekap area'!M9+'Rekap area'!Q9+'Rekap area'!U9+'Rekap area'!Y9</f>
        <v>8.7386520000000001</v>
      </c>
      <c r="F9" s="249">
        <f>'Rekap area'!F9+'Rekap area'!J9+'Rekap area'!N9+'Rekap area'!R9+'Rekap area'!V9+'Rekap area'!Z9</f>
        <v>28.465</v>
      </c>
      <c r="G9" s="244">
        <f t="shared" ref="G9:G19" si="1">SUM(D9:F9)</f>
        <v>82.145251999999999</v>
      </c>
      <c r="H9" s="131"/>
      <c r="I9" s="131"/>
      <c r="J9" s="131"/>
    </row>
    <row r="10" spans="1:10" x14ac:dyDescent="0.3">
      <c r="A10" s="250">
        <v>3</v>
      </c>
      <c r="B10" s="251" t="s">
        <v>66</v>
      </c>
      <c r="C10" s="248">
        <f t="shared" si="0"/>
        <v>2024</v>
      </c>
      <c r="D10" s="249">
        <f>'Rekap area'!D10+'Rekap area'!H10+'Rekap area'!L10+'Rekap area'!P10+'Rekap area'!T10+'Rekap area'!X10</f>
        <v>1.5576000000000003</v>
      </c>
      <c r="E10" s="249">
        <f>'Rekap area'!E10+'Rekap area'!I10+'Rekap area'!M10+'Rekap area'!Q10+'Rekap area'!U10+'Rekap area'!Y10</f>
        <v>1.8587400000000001</v>
      </c>
      <c r="F10" s="249">
        <f>'Rekap area'!F10+'Rekap area'!J10+'Rekap area'!N10+'Rekap area'!R10+'Rekap area'!V10+'Rekap area'!Z10</f>
        <v>46.116999999999997</v>
      </c>
      <c r="G10" s="244">
        <f t="shared" si="1"/>
        <v>49.533339999999995</v>
      </c>
      <c r="H10" s="131"/>
      <c r="I10" s="131"/>
      <c r="J10" s="131"/>
    </row>
    <row r="11" spans="1:10" x14ac:dyDescent="0.3">
      <c r="A11" s="250">
        <v>4</v>
      </c>
      <c r="B11" s="251" t="s">
        <v>76</v>
      </c>
      <c r="C11" s="248">
        <f t="shared" si="0"/>
        <v>2024</v>
      </c>
      <c r="D11" s="249">
        <f>'Rekap area'!D11+'Rekap area'!H11+'Rekap area'!L11+'Rekap area'!P11+'Rekap area'!T11+'Rekap area'!X11</f>
        <v>1.2324000000000002</v>
      </c>
      <c r="E11" s="249">
        <f>'Rekap area'!E11+'Rekap area'!I11+'Rekap area'!M11+'Rekap area'!Q11+'Rekap area'!U11+'Rekap area'!Y11</f>
        <v>2.5464399999999996</v>
      </c>
      <c r="F11" s="249">
        <f>'Rekap area'!F11+'Rekap area'!J11+'Rekap area'!N11+'Rekap area'!R11+'Rekap area'!V11+'Rekap area'!Z11</f>
        <v>45.683000000000007</v>
      </c>
      <c r="G11" s="244">
        <f t="shared" si="1"/>
        <v>49.461840000000009</v>
      </c>
      <c r="H11" s="131"/>
      <c r="I11" s="131"/>
      <c r="J11" s="131"/>
    </row>
    <row r="12" spans="1:10" x14ac:dyDescent="0.3">
      <c r="A12" s="250">
        <v>5</v>
      </c>
      <c r="B12" s="251" t="s">
        <v>67</v>
      </c>
      <c r="C12" s="248">
        <f t="shared" si="0"/>
        <v>2024</v>
      </c>
      <c r="D12" s="249">
        <f>'Rekap area'!D12+'Rekap area'!H12+'Rekap area'!L12+'Rekap area'!P12+'Rekap area'!T12+'Rekap area'!X12</f>
        <v>49.895799999999994</v>
      </c>
      <c r="E12" s="249">
        <f>'Rekap area'!E12+'Rekap area'!I12+'Rekap area'!M12+'Rekap area'!Q12+'Rekap area'!U12+'Rekap area'!Y12</f>
        <v>2.669524</v>
      </c>
      <c r="F12" s="249">
        <f>'Rekap area'!F12+'Rekap area'!J12+'Rekap area'!N12+'Rekap area'!R12+'Rekap area'!V12+'Rekap area'!Z12</f>
        <v>29.893000000000001</v>
      </c>
      <c r="G12" s="244">
        <f t="shared" si="1"/>
        <v>82.458324000000005</v>
      </c>
      <c r="H12" s="131"/>
      <c r="I12" s="131"/>
      <c r="J12" s="131"/>
    </row>
    <row r="13" spans="1:10" x14ac:dyDescent="0.3">
      <c r="A13" s="250">
        <v>6</v>
      </c>
      <c r="B13" s="251" t="s">
        <v>68</v>
      </c>
      <c r="C13" s="248">
        <f t="shared" si="0"/>
        <v>2024</v>
      </c>
      <c r="D13" s="249">
        <f>'Rekap area'!D13+'Rekap area'!H13+'Rekap area'!L13+'Rekap area'!P13+'Rekap area'!T13+'Rekap area'!X13</f>
        <v>95.80843999999999</v>
      </c>
      <c r="E13" s="249">
        <f>'Rekap area'!E13+'Rekap area'!I13+'Rekap area'!M13+'Rekap area'!Q13+'Rekap area'!U13+'Rekap area'!Y13</f>
        <v>1.9219199999999996</v>
      </c>
      <c r="F13" s="249">
        <f>'Rekap area'!F13+'Rekap area'!J13+'Rekap area'!N13+'Rekap area'!R13+'Rekap area'!V13+'Rekap area'!Z13</f>
        <v>45.561999999999998</v>
      </c>
      <c r="G13" s="244">
        <f t="shared" si="1"/>
        <v>143.29235999999997</v>
      </c>
      <c r="H13" s="131"/>
      <c r="I13" s="131"/>
      <c r="J13" s="131"/>
    </row>
    <row r="14" spans="1:10" x14ac:dyDescent="0.3">
      <c r="A14" s="252">
        <v>7</v>
      </c>
      <c r="B14" s="253" t="s">
        <v>69</v>
      </c>
      <c r="C14" s="58">
        <f>$G$3</f>
        <v>2025</v>
      </c>
      <c r="D14" s="59">
        <f>'Rekap area'!D14+'Rekap area'!H14+'Rekap area'!L14+'Rekap area'!P14+'Rekap area'!T14+'Rekap area'!X14</f>
        <v>16.801200000000001</v>
      </c>
      <c r="E14" s="59">
        <f>'Rekap area'!E14+'Rekap area'!I14+'Rekap area'!M14+'Rekap area'!Q14+'Rekap area'!U14+'Rekap area'!Y14</f>
        <v>2.0368400000000002</v>
      </c>
      <c r="F14" s="59">
        <f>'Rekap area'!F14+'Rekap area'!J14+'Rekap area'!N14+'Rekap area'!R14+'Rekap area'!V14+'Rekap area'!Z14</f>
        <v>25.780628000000004</v>
      </c>
      <c r="G14" s="244">
        <f t="shared" si="1"/>
        <v>44.618668000000007</v>
      </c>
      <c r="H14" s="131"/>
      <c r="I14" s="131"/>
      <c r="J14" s="131"/>
    </row>
    <row r="15" spans="1:10" x14ac:dyDescent="0.3">
      <c r="A15" s="252">
        <v>8</v>
      </c>
      <c r="B15" s="253" t="s">
        <v>70</v>
      </c>
      <c r="C15" s="58">
        <f t="shared" ref="C15:C19" si="2">$G$3</f>
        <v>2025</v>
      </c>
      <c r="D15" s="59">
        <f>'Rekap area'!D15+'Rekap area'!H15+'Rekap area'!L15+'Rekap area'!P15+'Rekap area'!T15+'Rekap area'!X15</f>
        <v>68.781800000000004</v>
      </c>
      <c r="E15" s="59">
        <f>'Rekap area'!E15+'Rekap area'!I15+'Rekap area'!M15+'Rekap area'!Q15+'Rekap area'!U15+'Rekap area'!Y15</f>
        <v>1.8959199999999998</v>
      </c>
      <c r="F15" s="59">
        <f>'Rekap area'!F15+'Rekap area'!J15+'Rekap area'!N15+'Rekap area'!R15+'Rekap area'!V15+'Rekap area'!Z15</f>
        <v>12.5</v>
      </c>
      <c r="G15" s="244">
        <f t="shared" si="1"/>
        <v>83.177720000000008</v>
      </c>
      <c r="H15" s="131"/>
      <c r="I15" s="130"/>
      <c r="J15" s="131"/>
    </row>
    <row r="16" spans="1:10" x14ac:dyDescent="0.3">
      <c r="A16" s="252">
        <v>9</v>
      </c>
      <c r="B16" s="253" t="s">
        <v>71</v>
      </c>
      <c r="C16" s="58">
        <f t="shared" si="2"/>
        <v>2025</v>
      </c>
      <c r="D16" s="59">
        <f>'Rekap area'!D16+'Rekap area'!H16+'Rekap area'!L16+'Rekap area'!P16+'Rekap area'!T16+'Rekap area'!X16</f>
        <v>14.925899999999999</v>
      </c>
      <c r="E16" s="59">
        <f>'Rekap area'!E16+'Rekap area'!I16+'Rekap area'!M16+'Rekap area'!Q16+'Rekap area'!U16+'Rekap area'!Y16</f>
        <v>0.52349000000000001</v>
      </c>
      <c r="F16" s="59">
        <f>'Rekap area'!F16+'Rekap area'!J16+'Rekap area'!N16+'Rekap area'!R16+'Rekap area'!V16+'Rekap area'!Z16</f>
        <v>5.0900000000000007</v>
      </c>
      <c r="G16" s="244">
        <f t="shared" si="1"/>
        <v>20.539390000000001</v>
      </c>
      <c r="H16" s="131"/>
      <c r="I16" s="212"/>
      <c r="J16" s="131"/>
    </row>
    <row r="17" spans="1:30" x14ac:dyDescent="0.3">
      <c r="A17" s="252">
        <v>10</v>
      </c>
      <c r="B17" s="253" t="s">
        <v>72</v>
      </c>
      <c r="C17" s="58">
        <f t="shared" si="2"/>
        <v>2025</v>
      </c>
      <c r="D17" s="59">
        <f>'Rekap area'!D17+'Rekap area'!H17+'Rekap area'!L17+'Rekap area'!P17+'Rekap area'!T17+'Rekap area'!X17</f>
        <v>10.226100000000001</v>
      </c>
      <c r="E17" s="59">
        <f>'Rekap area'!E17+'Rekap area'!I17+'Rekap area'!M17+'Rekap area'!Q17+'Rekap area'!U17+'Rekap area'!Y17</f>
        <v>0.32580000000000003</v>
      </c>
      <c r="F17" s="59">
        <f>'Rekap area'!F17+'Rekap area'!J17+'Rekap area'!N17+'Rekap area'!R17+'Rekap area'!V17+'Rekap area'!Z17</f>
        <v>0</v>
      </c>
      <c r="G17" s="244">
        <f t="shared" si="1"/>
        <v>10.5519</v>
      </c>
      <c r="H17" s="131"/>
      <c r="I17" s="213"/>
      <c r="J17" s="131"/>
    </row>
    <row r="18" spans="1:30" x14ac:dyDescent="0.3">
      <c r="A18" s="252">
        <v>11</v>
      </c>
      <c r="B18" s="253" t="s">
        <v>35</v>
      </c>
      <c r="C18" s="58">
        <f t="shared" si="2"/>
        <v>2025</v>
      </c>
      <c r="D18" s="59">
        <f>'Rekap area'!D18+'Rekap area'!H18+'Rekap area'!L18+'Rekap area'!P18+'Rekap area'!T18+'Rekap area'!X18</f>
        <v>9.0947999999999993</v>
      </c>
      <c r="E18" s="59">
        <f>'Rekap area'!E18+'Rekap area'!I18+'Rekap area'!M18+'Rekap area'!Q18+'Rekap area'!U18+'Rekap area'!Y18</f>
        <v>0.45620000000000005</v>
      </c>
      <c r="F18" s="59">
        <f>'Rekap area'!F18+'Rekap area'!J18+'Rekap area'!N18+'Rekap area'!R18+'Rekap area'!V18+'Rekap area'!Z18</f>
        <v>0.43100000000000005</v>
      </c>
      <c r="G18" s="244">
        <f t="shared" si="1"/>
        <v>9.9819999999999993</v>
      </c>
      <c r="H18" s="131"/>
      <c r="I18" s="214"/>
      <c r="J18" s="131"/>
    </row>
    <row r="19" spans="1:30" x14ac:dyDescent="0.3">
      <c r="A19" s="252">
        <v>12</v>
      </c>
      <c r="B19" s="253" t="s">
        <v>73</v>
      </c>
      <c r="C19" s="58">
        <f t="shared" si="2"/>
        <v>2025</v>
      </c>
      <c r="D19" s="59">
        <f>'Rekap area'!D19+'Rekap area'!H19+'Rekap area'!L19+'Rekap area'!P19+'Rekap area'!T19+'Rekap area'!X19</f>
        <v>3.0260999999999996</v>
      </c>
      <c r="E19" s="59">
        <f>'Rekap area'!E19+'Rekap area'!I19+'Rekap area'!M19+'Rekap area'!Q19+'Rekap area'!U19+'Rekap area'!Y19</f>
        <v>2.5925000000000002</v>
      </c>
      <c r="F19" s="59">
        <f>'Rekap area'!F19+'Rekap area'!J19+'Rekap area'!N19+'Rekap area'!R19+'Rekap area'!V19+'Rekap area'!Z19</f>
        <v>1.2400000000000002</v>
      </c>
      <c r="G19" s="244">
        <f t="shared" si="1"/>
        <v>6.8586</v>
      </c>
      <c r="H19" s="131"/>
      <c r="I19" s="215"/>
      <c r="J19" s="131"/>
    </row>
    <row r="20" spans="1:30" x14ac:dyDescent="0.3">
      <c r="A20" s="241"/>
      <c r="B20" s="285" t="s">
        <v>82</v>
      </c>
      <c r="C20" s="285"/>
      <c r="D20" s="242">
        <f>SUM(D8:D19)</f>
        <v>375.75614000000002</v>
      </c>
      <c r="E20" s="242">
        <f t="shared" ref="E20:F20" si="3">SUM(E8:E19)</f>
        <v>35.920994000000007</v>
      </c>
      <c r="F20" s="242">
        <f t="shared" si="3"/>
        <v>267.731628</v>
      </c>
      <c r="G20" s="242">
        <f>SUM(G8:G19)</f>
        <v>679.40876200000002</v>
      </c>
      <c r="H20" s="131"/>
      <c r="I20" s="214"/>
      <c r="J20" s="131"/>
    </row>
    <row r="21" spans="1:30" x14ac:dyDescent="0.3">
      <c r="A21" s="216"/>
      <c r="B21" s="216"/>
      <c r="C21" s="216"/>
      <c r="D21" s="216"/>
      <c r="E21" s="216"/>
      <c r="F21" s="216"/>
      <c r="G21" s="216"/>
      <c r="H21" s="131"/>
      <c r="I21" s="131"/>
      <c r="J21" s="131"/>
    </row>
    <row r="22" spans="1:30" x14ac:dyDescent="0.3">
      <c r="A22" s="208"/>
      <c r="B22" s="208"/>
      <c r="C22" s="194" t="s">
        <v>43</v>
      </c>
      <c r="D22" s="194"/>
      <c r="E22" s="194"/>
      <c r="F22" s="195" t="s">
        <v>46</v>
      </c>
      <c r="G22" s="208"/>
      <c r="H22" s="131"/>
      <c r="I22" s="131"/>
      <c r="J22" s="131"/>
    </row>
    <row r="23" spans="1:30" x14ac:dyDescent="0.3">
      <c r="A23" s="208"/>
      <c r="B23" s="208"/>
      <c r="C23" s="194" t="s">
        <v>48</v>
      </c>
      <c r="D23" s="194"/>
      <c r="E23" s="194"/>
      <c r="F23" s="194" t="s">
        <v>49</v>
      </c>
      <c r="G23" s="208"/>
      <c r="H23" s="131"/>
      <c r="I23" s="131"/>
      <c r="J23" s="131"/>
      <c r="V23" s="198"/>
      <c r="W23" s="198"/>
      <c r="X23" s="198"/>
      <c r="AB23" s="198"/>
      <c r="AC23" s="198"/>
      <c r="AD23" s="198"/>
    </row>
    <row r="24" spans="1:30" x14ac:dyDescent="0.3">
      <c r="A24" s="208"/>
      <c r="B24" s="208"/>
      <c r="C24" s="194"/>
      <c r="D24" s="194"/>
      <c r="E24" s="194"/>
      <c r="F24" s="194"/>
      <c r="G24" s="208"/>
      <c r="H24" s="131"/>
      <c r="I24" s="131"/>
      <c r="J24" s="131"/>
      <c r="V24" s="198"/>
      <c r="W24" s="198"/>
      <c r="X24" s="198"/>
      <c r="AB24" s="198"/>
      <c r="AC24" s="198"/>
      <c r="AD24" s="198"/>
    </row>
    <row r="25" spans="1:30" x14ac:dyDescent="0.3">
      <c r="A25" s="208"/>
      <c r="B25" s="208"/>
      <c r="C25" s="194" t="s">
        <v>138</v>
      </c>
      <c r="D25" s="194"/>
      <c r="E25" s="194"/>
      <c r="F25" s="194" t="s">
        <v>137</v>
      </c>
      <c r="G25" s="208"/>
      <c r="H25" s="131"/>
      <c r="I25" s="131"/>
      <c r="J25" s="131"/>
      <c r="V25" s="198"/>
      <c r="W25" s="198"/>
      <c r="X25" s="198"/>
      <c r="AB25" s="198"/>
      <c r="AC25" s="198"/>
      <c r="AD25" s="198"/>
    </row>
    <row r="26" spans="1:30" x14ac:dyDescent="0.3">
      <c r="A26" s="208"/>
      <c r="B26" s="208"/>
      <c r="C26" s="194"/>
      <c r="D26" s="194"/>
      <c r="E26" s="194"/>
      <c r="F26" s="194"/>
      <c r="G26" s="208"/>
      <c r="H26" s="131"/>
      <c r="I26" s="131"/>
      <c r="J26" s="131"/>
      <c r="V26" s="198"/>
      <c r="W26" s="198"/>
      <c r="X26" s="198"/>
      <c r="AB26" s="198"/>
      <c r="AC26" s="198"/>
      <c r="AD26" s="198"/>
    </row>
    <row r="27" spans="1:30" x14ac:dyDescent="0.3">
      <c r="A27" s="208"/>
      <c r="B27" s="208"/>
      <c r="C27" s="194" t="s">
        <v>44</v>
      </c>
      <c r="D27" s="194"/>
      <c r="E27" s="194"/>
      <c r="F27" s="194" t="s">
        <v>47</v>
      </c>
      <c r="G27" s="208"/>
      <c r="H27" s="131"/>
      <c r="I27" s="131"/>
      <c r="J27" s="131"/>
      <c r="V27" s="198"/>
      <c r="W27" s="198"/>
      <c r="X27" s="198"/>
      <c r="AB27" s="198"/>
      <c r="AC27" s="198"/>
      <c r="AD27" s="198"/>
    </row>
    <row r="28" spans="1:30" x14ac:dyDescent="0.3">
      <c r="A28" s="208"/>
      <c r="B28" s="208"/>
      <c r="C28" s="194" t="s">
        <v>45</v>
      </c>
      <c r="D28" s="194"/>
      <c r="E28" s="194"/>
      <c r="F28" s="194" t="s">
        <v>45</v>
      </c>
      <c r="G28" s="208"/>
      <c r="H28" s="131"/>
      <c r="I28" s="131"/>
      <c r="J28" s="131"/>
      <c r="V28" s="198"/>
      <c r="W28" s="198"/>
      <c r="X28" s="198"/>
      <c r="AB28" s="198"/>
      <c r="AC28" s="198"/>
      <c r="AD28" s="198"/>
    </row>
    <row r="29" spans="1:30" x14ac:dyDescent="0.3">
      <c r="B29" s="198"/>
      <c r="C29" s="198"/>
      <c r="F29" s="198"/>
      <c r="V29" s="198"/>
      <c r="W29" s="198"/>
      <c r="X29" s="198"/>
      <c r="AB29" s="198"/>
      <c r="AC29" s="198"/>
      <c r="AD29" s="198"/>
    </row>
    <row r="30" spans="1:30" x14ac:dyDescent="0.3">
      <c r="B30" s="198"/>
      <c r="C30" s="198"/>
      <c r="D30" s="198"/>
      <c r="E30" s="198"/>
      <c r="F30" s="198"/>
      <c r="V30" s="198"/>
      <c r="W30" s="198"/>
      <c r="X30" s="198"/>
      <c r="AB30" s="198"/>
      <c r="AC30" s="198"/>
      <c r="AD30" s="198"/>
    </row>
    <row r="31" spans="1:30" x14ac:dyDescent="0.3">
      <c r="B31" s="198"/>
      <c r="C31" s="198"/>
      <c r="D31" s="198"/>
      <c r="E31" s="198"/>
    </row>
    <row r="32" spans="1:30" x14ac:dyDescent="0.3">
      <c r="E32" s="198"/>
    </row>
    <row r="33" spans="5:6" x14ac:dyDescent="0.3">
      <c r="E33" s="198"/>
      <c r="F33" s="198"/>
    </row>
    <row r="34" spans="5:6" x14ac:dyDescent="0.3">
      <c r="E34" s="198"/>
      <c r="F34" s="198"/>
    </row>
    <row r="35" spans="5:6" x14ac:dyDescent="0.3">
      <c r="E35" s="198"/>
      <c r="F35" s="198"/>
    </row>
  </sheetData>
  <sheetProtection algorithmName="SHA-512" hashValue="3ySFhi5R2nkfZISZZ3IhyiZy3vwS27X/YmA6GWApkUe2EvFP+NOkYX8TI3m0w6dIo0Unqo0IOpHxdllAqZbH/g==" saltValue="nvjV+++nAEVEyGaqbpKSMA==" spinCount="100000" sheet="1" objects="1" scenarios="1" formatColumns="0" formatRows="0"/>
  <mergeCells count="6">
    <mergeCell ref="D6:F6"/>
    <mergeCell ref="B20:C20"/>
    <mergeCell ref="G6:G7"/>
    <mergeCell ref="A6:A7"/>
    <mergeCell ref="B6:B7"/>
    <mergeCell ref="C6:C7"/>
  </mergeCells>
  <printOptions horizontalCentered="1"/>
  <pageMargins left="0.19685039370078741" right="0.19685039370078741" top="0.39370078740157483" bottom="0.39370078740157483" header="0.11811023622047245" footer="0.11811023622047245"/>
  <pageSetup paperSize="9" scale="9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2005B-6823-4BF9-9CC0-44C8EC19072E}">
  <sheetPr codeName="Sheet3">
    <tabColor theme="9" tint="0.59999389629810485"/>
    <pageSetUpPr fitToPage="1"/>
  </sheetPr>
  <dimension ref="A1:AZ30"/>
  <sheetViews>
    <sheetView view="pageBreakPreview" topLeftCell="A7" zoomScale="70" zoomScaleNormal="107" zoomScaleSheetLayoutView="70" workbookViewId="0">
      <selection activeCell="D18" sqref="D18"/>
    </sheetView>
  </sheetViews>
  <sheetFormatPr defaultColWidth="9.140625" defaultRowHeight="20.25" x14ac:dyDescent="0.3"/>
  <cols>
    <col min="1" max="1" width="5.5703125" style="197" bestFit="1" customWidth="1"/>
    <col min="2" max="2" width="15.42578125" style="197" customWidth="1"/>
    <col min="3" max="3" width="11.140625" style="197" customWidth="1"/>
    <col min="4" max="27" width="7.85546875" style="197" customWidth="1"/>
    <col min="28" max="30" width="8.85546875" style="197" bestFit="1" customWidth="1"/>
    <col min="31" max="31" width="8.85546875" style="197" customWidth="1"/>
    <col min="32" max="32" width="8.85546875" style="197" bestFit="1" customWidth="1"/>
    <col min="33" max="33" width="10" style="197" customWidth="1"/>
    <col min="34" max="34" width="2.5703125" style="197" customWidth="1"/>
    <col min="35" max="39" width="8.85546875" style="197" bestFit="1" customWidth="1"/>
    <col min="40" max="40" width="8.85546875" style="197" customWidth="1"/>
    <col min="41" max="41" width="8.85546875" style="197" bestFit="1" customWidth="1"/>
    <col min="42" max="42" width="11.140625" style="197" customWidth="1"/>
    <col min="43" max="43" width="2.5703125" style="197" customWidth="1"/>
    <col min="44" max="48" width="8.85546875" style="197" bestFit="1" customWidth="1"/>
    <col min="49" max="49" width="8.85546875" style="197" customWidth="1"/>
    <col min="50" max="50" width="8.85546875" style="197" bestFit="1" customWidth="1"/>
    <col min="51" max="51" width="12.140625" style="197" customWidth="1"/>
    <col min="52" max="52" width="2.5703125" style="197" customWidth="1"/>
    <col min="53" max="16384" width="9.140625" style="197"/>
  </cols>
  <sheetData>
    <row r="1" spans="1:52" x14ac:dyDescent="0.3">
      <c r="A1" s="204" t="s">
        <v>88</v>
      </c>
      <c r="B1" s="204"/>
      <c r="C1" s="204"/>
      <c r="D1" s="204"/>
      <c r="E1" s="204"/>
      <c r="F1" s="217"/>
      <c r="G1" s="217"/>
      <c r="H1" s="217"/>
      <c r="I1" s="217"/>
      <c r="S1" s="217"/>
      <c r="Z1" s="217"/>
      <c r="AH1" s="217"/>
      <c r="AQ1" s="217"/>
      <c r="AZ1" s="217"/>
    </row>
    <row r="2" spans="1:52" x14ac:dyDescent="0.3">
      <c r="A2" s="204" t="s">
        <v>130</v>
      </c>
      <c r="B2" s="204"/>
      <c r="C2" s="204"/>
      <c r="D2" s="204"/>
      <c r="E2" s="204"/>
      <c r="F2" s="217"/>
      <c r="G2" s="217"/>
      <c r="H2" s="217"/>
      <c r="I2" s="217"/>
      <c r="S2" s="217"/>
      <c r="Z2" s="217"/>
      <c r="AH2" s="217"/>
      <c r="AQ2" s="217"/>
      <c r="AZ2" s="217"/>
    </row>
    <row r="3" spans="1:52" s="202" customFormat="1" ht="18" x14ac:dyDescent="0.25">
      <c r="A3" s="204" t="s">
        <v>89</v>
      </c>
      <c r="B3" s="204"/>
      <c r="C3" s="207" t="s">
        <v>135</v>
      </c>
      <c r="D3" s="218">
        <f>'Rekap Neraca Pengelolaan Sampah'!D2</f>
        <v>2024</v>
      </c>
      <c r="E3" s="206" t="s">
        <v>64</v>
      </c>
      <c r="F3" s="207" t="s">
        <v>136</v>
      </c>
      <c r="G3" s="218">
        <f>'Rekap Neraca Pengelolaan Sampah'!G2</f>
        <v>2025</v>
      </c>
    </row>
    <row r="4" spans="1:52" s="202" customFormat="1" ht="18" x14ac:dyDescent="0.25">
      <c r="A4" s="204" t="s">
        <v>127</v>
      </c>
      <c r="B4" s="204"/>
      <c r="C4" s="204" t="str">
        <f>'Rekap Neraca Pengelolaan Sampah'!C3</f>
        <v>PT PELINDO DAYA SEJAHTERA</v>
      </c>
      <c r="D4" s="204"/>
      <c r="E4" s="205"/>
      <c r="F4" s="205"/>
    </row>
    <row r="5" spans="1:52" x14ac:dyDescent="0.3">
      <c r="A5" s="198"/>
      <c r="B5" s="198"/>
      <c r="C5" s="198"/>
      <c r="D5" s="198"/>
      <c r="E5" s="198"/>
      <c r="F5" s="131"/>
      <c r="G5" s="131"/>
      <c r="H5" s="131"/>
      <c r="I5" s="131"/>
      <c r="J5" s="131"/>
      <c r="K5" s="131"/>
      <c r="L5" s="131"/>
    </row>
    <row r="6" spans="1:52" s="203" customFormat="1" ht="49.5" customHeight="1" x14ac:dyDescent="0.25">
      <c r="A6" s="294" t="s">
        <v>0</v>
      </c>
      <c r="B6" s="294" t="s">
        <v>41</v>
      </c>
      <c r="C6" s="295" t="s">
        <v>42</v>
      </c>
      <c r="D6" s="290" t="s">
        <v>113</v>
      </c>
      <c r="E6" s="291"/>
      <c r="F6" s="291"/>
      <c r="G6" s="291"/>
      <c r="H6" s="290" t="s">
        <v>114</v>
      </c>
      <c r="I6" s="291"/>
      <c r="J6" s="291"/>
      <c r="K6" s="292"/>
      <c r="L6" s="290" t="s">
        <v>121</v>
      </c>
      <c r="M6" s="291"/>
      <c r="N6" s="291"/>
      <c r="O6" s="292"/>
      <c r="P6" s="290" t="s">
        <v>122</v>
      </c>
      <c r="Q6" s="291"/>
      <c r="R6" s="291"/>
      <c r="S6" s="292"/>
      <c r="T6" s="290" t="s">
        <v>120</v>
      </c>
      <c r="U6" s="291"/>
      <c r="V6" s="291"/>
      <c r="W6" s="292"/>
      <c r="X6" s="290" t="s">
        <v>119</v>
      </c>
      <c r="Y6" s="291"/>
      <c r="Z6" s="291"/>
      <c r="AA6" s="292"/>
    </row>
    <row r="7" spans="1:52" s="203" customFormat="1" ht="167.45" customHeight="1" x14ac:dyDescent="0.25">
      <c r="A7" s="294"/>
      <c r="B7" s="294"/>
      <c r="C7" s="295"/>
      <c r="D7" s="243" t="s">
        <v>83</v>
      </c>
      <c r="E7" s="243" t="s">
        <v>117</v>
      </c>
      <c r="F7" s="243" t="s">
        <v>144</v>
      </c>
      <c r="G7" s="245" t="s">
        <v>118</v>
      </c>
      <c r="H7" s="243" t="s">
        <v>83</v>
      </c>
      <c r="I7" s="243" t="s">
        <v>117</v>
      </c>
      <c r="J7" s="243" t="s">
        <v>144</v>
      </c>
      <c r="K7" s="245" t="s">
        <v>118</v>
      </c>
      <c r="L7" s="243" t="s">
        <v>83</v>
      </c>
      <c r="M7" s="243" t="s">
        <v>117</v>
      </c>
      <c r="N7" s="243" t="s">
        <v>144</v>
      </c>
      <c r="O7" s="245" t="s">
        <v>118</v>
      </c>
      <c r="P7" s="243" t="s">
        <v>83</v>
      </c>
      <c r="Q7" s="243" t="s">
        <v>117</v>
      </c>
      <c r="R7" s="243" t="s">
        <v>144</v>
      </c>
      <c r="S7" s="245" t="s">
        <v>118</v>
      </c>
      <c r="T7" s="243" t="s">
        <v>83</v>
      </c>
      <c r="U7" s="243" t="s">
        <v>117</v>
      </c>
      <c r="V7" s="243" t="s">
        <v>144</v>
      </c>
      <c r="W7" s="245" t="s">
        <v>118</v>
      </c>
      <c r="X7" s="243" t="s">
        <v>83</v>
      </c>
      <c r="Y7" s="243" t="s">
        <v>117</v>
      </c>
      <c r="Z7" s="243" t="s">
        <v>144</v>
      </c>
      <c r="AA7" s="245" t="s">
        <v>118</v>
      </c>
    </row>
    <row r="8" spans="1:52" x14ac:dyDescent="0.3">
      <c r="A8" s="248">
        <v>1</v>
      </c>
      <c r="B8" s="251" t="s">
        <v>62</v>
      </c>
      <c r="C8" s="248">
        <f>$D$3</f>
        <v>2024</v>
      </c>
      <c r="D8" s="247">
        <f>Juli!$C$40</f>
        <v>4.5180000000000007</v>
      </c>
      <c r="E8" s="247">
        <f>Juli!$D$40</f>
        <v>1.0329280000000001</v>
      </c>
      <c r="F8" s="247">
        <f>Juli!$E$40</f>
        <v>1.395</v>
      </c>
      <c r="G8" s="246">
        <f t="shared" ref="G8:G19" si="0">SUM(D8:F8)</f>
        <v>6.9459280000000003</v>
      </c>
      <c r="H8" s="247">
        <f>Juli!G$40</f>
        <v>20.472000000000005</v>
      </c>
      <c r="I8" s="247">
        <f>Juli!H$40</f>
        <v>0.98019999999999996</v>
      </c>
      <c r="J8" s="247">
        <f>Juli!I$40</f>
        <v>6.0119999999999996</v>
      </c>
      <c r="K8" s="246">
        <f t="shared" ref="K8" si="1">SUM(H8:J8)</f>
        <v>27.464200000000005</v>
      </c>
      <c r="L8" s="247">
        <f>Juli!K$40</f>
        <v>5.0068000000000001</v>
      </c>
      <c r="M8" s="247">
        <f>Juli!L$40</f>
        <v>0.56784000000000012</v>
      </c>
      <c r="N8" s="247">
        <f>Juli!M$40</f>
        <v>1.829</v>
      </c>
      <c r="O8" s="246">
        <f t="shared" ref="O8" si="2">SUM(L8:N8)</f>
        <v>7.4036400000000002</v>
      </c>
      <c r="P8" s="247">
        <f>Juli!O$40</f>
        <v>26.5076</v>
      </c>
      <c r="Q8" s="247">
        <f>Juli!P$40</f>
        <v>0.91935999999999996</v>
      </c>
      <c r="R8" s="247">
        <f>Juli!Q$40</f>
        <v>14.56</v>
      </c>
      <c r="S8" s="246">
        <f t="shared" ref="S8" si="3">SUM(P8:R8)</f>
        <v>41.986960000000003</v>
      </c>
      <c r="T8" s="247">
        <f>Juli!S$40</f>
        <v>2.2400000000000002</v>
      </c>
      <c r="U8" s="247">
        <f>Juli!T$40</f>
        <v>1.0275199999999995</v>
      </c>
      <c r="V8" s="247">
        <f>Juli!U$40</f>
        <v>1.74</v>
      </c>
      <c r="W8" s="246">
        <f t="shared" ref="W8" si="4">SUM(T8:V8)</f>
        <v>5.0075199999999995</v>
      </c>
      <c r="X8" s="247">
        <f>Juli!W$40</f>
        <v>0.72</v>
      </c>
      <c r="Y8" s="247">
        <f>Juli!X$40</f>
        <v>5.8271199999999999</v>
      </c>
      <c r="Z8" s="247">
        <f>Juli!Y$40</f>
        <v>1.4339999999999999</v>
      </c>
      <c r="AA8" s="246">
        <f t="shared" ref="AA8" si="5">SUM(X8:Z8)</f>
        <v>7.9811199999999998</v>
      </c>
    </row>
    <row r="9" spans="1:52" x14ac:dyDescent="0.3">
      <c r="A9" s="248">
        <v>2</v>
      </c>
      <c r="B9" s="251" t="s">
        <v>65</v>
      </c>
      <c r="C9" s="248">
        <f t="shared" ref="C9:C13" si="6">$D$3</f>
        <v>2024</v>
      </c>
      <c r="D9" s="247">
        <f>Agustus!$C$40</f>
        <v>4.9396000000000004</v>
      </c>
      <c r="E9" s="247">
        <f>Agustus!$D$40</f>
        <v>0.46035599999999993</v>
      </c>
      <c r="F9" s="247">
        <f>Agustus!$E$40</f>
        <v>2.4500000000000002</v>
      </c>
      <c r="G9" s="246">
        <f t="shared" si="0"/>
        <v>7.8499560000000006</v>
      </c>
      <c r="H9" s="247">
        <f>Agustus!G$40</f>
        <v>13.2552</v>
      </c>
      <c r="I9" s="247">
        <f>Agustus!H$40</f>
        <v>0.75035999999999992</v>
      </c>
      <c r="J9" s="247">
        <f>Agustus!I$40</f>
        <v>7.26</v>
      </c>
      <c r="K9" s="246">
        <f t="shared" ref="K9" si="7">SUM(H9:J9)</f>
        <v>21.265560000000001</v>
      </c>
      <c r="L9" s="247">
        <f>Agustus!K$40</f>
        <v>5.6607999999999992</v>
      </c>
      <c r="M9" s="247">
        <f>Agustus!L$40</f>
        <v>0.34611200000000003</v>
      </c>
      <c r="N9" s="247">
        <f>Agustus!M$40</f>
        <v>2.5649999999999999</v>
      </c>
      <c r="O9" s="246">
        <f t="shared" ref="O9" si="8">SUM(L9:N9)</f>
        <v>8.5719119999999993</v>
      </c>
      <c r="P9" s="247">
        <f>Agustus!O$40</f>
        <v>16.425999999999998</v>
      </c>
      <c r="Q9" s="247">
        <f>Agustus!P$40</f>
        <v>6.6004639999999997</v>
      </c>
      <c r="R9" s="247">
        <f>Agustus!Q$40</f>
        <v>13</v>
      </c>
      <c r="S9" s="246">
        <f t="shared" ref="S9" si="9">SUM(P9:R9)</f>
        <v>36.026463999999997</v>
      </c>
      <c r="T9" s="247">
        <f>Agustus!S$40</f>
        <v>2.3199999999999998</v>
      </c>
      <c r="U9" s="247">
        <f>Agustus!T$40</f>
        <v>0.45291999999999988</v>
      </c>
      <c r="V9" s="247">
        <f>Agustus!U$40</f>
        <v>1.5649999999999999</v>
      </c>
      <c r="W9" s="246">
        <f t="shared" ref="W9" si="10">SUM(T9:V9)</f>
        <v>4.3379199999999996</v>
      </c>
      <c r="X9" s="247">
        <f>Agustus!W$40</f>
        <v>2.34</v>
      </c>
      <c r="Y9" s="247">
        <f>Agustus!X$40</f>
        <v>0.12844000000000003</v>
      </c>
      <c r="Z9" s="247">
        <f>Agustus!Y$40</f>
        <v>1.625</v>
      </c>
      <c r="AA9" s="246">
        <f t="shared" ref="AA9" si="11">SUM(X9:Z9)</f>
        <v>4.0934399999999993</v>
      </c>
    </row>
    <row r="10" spans="1:52" x14ac:dyDescent="0.3">
      <c r="A10" s="248">
        <v>3</v>
      </c>
      <c r="B10" s="251" t="s">
        <v>66</v>
      </c>
      <c r="C10" s="248">
        <f t="shared" si="6"/>
        <v>2024</v>
      </c>
      <c r="D10" s="247">
        <f>September!$C$40</f>
        <v>0.28840000000000005</v>
      </c>
      <c r="E10" s="247">
        <f>September!$D$40</f>
        <v>0.14273999999999998</v>
      </c>
      <c r="F10" s="247">
        <f>September!$E$40</f>
        <v>6.1449999999999996</v>
      </c>
      <c r="G10" s="246">
        <f t="shared" si="0"/>
        <v>6.5761399999999997</v>
      </c>
      <c r="H10" s="247">
        <f>September!G$40</f>
        <v>0.32479999999999998</v>
      </c>
      <c r="I10" s="247">
        <f>September!H$40</f>
        <v>0.19187999999999994</v>
      </c>
      <c r="J10" s="247">
        <f>September!I$40</f>
        <v>10.48</v>
      </c>
      <c r="K10" s="246">
        <f t="shared" ref="K10" si="12">SUM(H10:J10)</f>
        <v>10.99668</v>
      </c>
      <c r="L10" s="247">
        <f>September!K$40</f>
        <v>0.45800000000000013</v>
      </c>
      <c r="M10" s="247">
        <f>September!L$40</f>
        <v>0.16067999999999999</v>
      </c>
      <c r="N10" s="247">
        <f>September!M$40</f>
        <v>2.4</v>
      </c>
      <c r="O10" s="246">
        <f t="shared" ref="O10" si="13">SUM(L10:N10)</f>
        <v>3.0186799999999998</v>
      </c>
      <c r="P10" s="247">
        <f>September!O$40</f>
        <v>0.48640000000000005</v>
      </c>
      <c r="Q10" s="247">
        <f>September!P$40</f>
        <v>0.23244000000000004</v>
      </c>
      <c r="R10" s="247">
        <f>September!Q$40</f>
        <v>18.965</v>
      </c>
      <c r="S10" s="246">
        <f t="shared" ref="S10" si="14">SUM(P10:R10)</f>
        <v>19.68384</v>
      </c>
      <c r="T10" s="247">
        <f>September!S$40</f>
        <v>0</v>
      </c>
      <c r="U10" s="247">
        <f>September!T$40</f>
        <v>0.15079999999999993</v>
      </c>
      <c r="V10" s="247">
        <f>September!U$40</f>
        <v>3.5</v>
      </c>
      <c r="W10" s="246">
        <f t="shared" ref="W10" si="15">SUM(T10:V10)</f>
        <v>3.6507999999999998</v>
      </c>
      <c r="X10" s="247">
        <f>September!W$40</f>
        <v>0</v>
      </c>
      <c r="Y10" s="247">
        <f>September!X$40</f>
        <v>0.98020000000000007</v>
      </c>
      <c r="Z10" s="247">
        <f>September!Y$40</f>
        <v>4.6269999999999998</v>
      </c>
      <c r="AA10" s="246">
        <f t="shared" ref="AA10" si="16">SUM(X10:Z10)</f>
        <v>5.6071999999999997</v>
      </c>
    </row>
    <row r="11" spans="1:52" x14ac:dyDescent="0.3">
      <c r="A11" s="248">
        <v>4</v>
      </c>
      <c r="B11" s="251" t="s">
        <v>76</v>
      </c>
      <c r="C11" s="248">
        <f t="shared" si="6"/>
        <v>2024</v>
      </c>
      <c r="D11" s="247">
        <f>Oktober!$C$40</f>
        <v>0</v>
      </c>
      <c r="E11" s="247">
        <f>Oktober!$D$40</f>
        <v>0.25688</v>
      </c>
      <c r="F11" s="247">
        <f>Oktober!$E$40</f>
        <v>5.5170000000000003</v>
      </c>
      <c r="G11" s="246">
        <f t="shared" si="0"/>
        <v>5.7738800000000001</v>
      </c>
      <c r="H11" s="247">
        <f>Oktober!G$40</f>
        <v>0.2908</v>
      </c>
      <c r="I11" s="247">
        <f>Oktober!H$40</f>
        <v>0.50960000000000005</v>
      </c>
      <c r="J11" s="247">
        <f>Oktober!I$40</f>
        <v>11.532</v>
      </c>
      <c r="K11" s="246">
        <f t="shared" ref="K11" si="17">SUM(H11:J11)</f>
        <v>12.3324</v>
      </c>
      <c r="L11" s="247">
        <f>Oktober!K$40</f>
        <v>0.45919999999999994</v>
      </c>
      <c r="M11" s="247">
        <f>Oktober!L$40</f>
        <v>0.34528000000000009</v>
      </c>
      <c r="N11" s="247">
        <f>Oktober!M$40</f>
        <v>2.4449999999999998</v>
      </c>
      <c r="O11" s="246">
        <f t="shared" ref="O11" si="18">SUM(L11:N11)</f>
        <v>3.2494800000000001</v>
      </c>
      <c r="P11" s="247">
        <f>Oktober!O$40</f>
        <v>0.48240000000000011</v>
      </c>
      <c r="Q11" s="247">
        <f>Oktober!P$40</f>
        <v>0.66508</v>
      </c>
      <c r="R11" s="247">
        <f>Oktober!Q$40</f>
        <v>19.033000000000001</v>
      </c>
      <c r="S11" s="246">
        <f t="shared" ref="S11" si="19">SUM(P11:R11)</f>
        <v>20.180480000000003</v>
      </c>
      <c r="T11" s="247">
        <f>Oktober!S$40</f>
        <v>0</v>
      </c>
      <c r="U11" s="247">
        <f>Oktober!T$40</f>
        <v>0.31719999999999993</v>
      </c>
      <c r="V11" s="247">
        <f>Oktober!U$40</f>
        <v>3.0630000000000002</v>
      </c>
      <c r="W11" s="246">
        <f t="shared" ref="W11" si="20">SUM(T11:V11)</f>
        <v>3.3802000000000003</v>
      </c>
      <c r="X11" s="247">
        <f>Oktober!W$40</f>
        <v>0</v>
      </c>
      <c r="Y11" s="247">
        <f>Oktober!X$40</f>
        <v>0.45239999999999991</v>
      </c>
      <c r="Z11" s="247">
        <f>Oktober!Y$40</f>
        <v>4.093</v>
      </c>
      <c r="AA11" s="246">
        <f t="shared" ref="AA11" si="21">SUM(X11:Z11)</f>
        <v>4.5453999999999999</v>
      </c>
    </row>
    <row r="12" spans="1:52" x14ac:dyDescent="0.3">
      <c r="A12" s="248">
        <v>5</v>
      </c>
      <c r="B12" s="251" t="s">
        <v>67</v>
      </c>
      <c r="C12" s="248">
        <f t="shared" si="6"/>
        <v>2024</v>
      </c>
      <c r="D12" s="247">
        <f>November!$C$40</f>
        <v>2.1190000000000002</v>
      </c>
      <c r="E12" s="247">
        <f>November!$D$40</f>
        <v>0.45697599999999999</v>
      </c>
      <c r="F12" s="247">
        <f>November!$E$40</f>
        <v>3.5529999999999999</v>
      </c>
      <c r="G12" s="246">
        <f t="shared" si="0"/>
        <v>6.1289759999999998</v>
      </c>
      <c r="H12" s="247">
        <f>November!G$40</f>
        <v>12.178800000000001</v>
      </c>
      <c r="I12" s="247">
        <f>November!H$40</f>
        <v>0.60096400000000005</v>
      </c>
      <c r="J12" s="247">
        <f>November!I$40</f>
        <v>6.77</v>
      </c>
      <c r="K12" s="246">
        <f t="shared" ref="K12" si="22">SUM(H12:J12)</f>
        <v>19.549764</v>
      </c>
      <c r="L12" s="247">
        <f>November!K$40</f>
        <v>3.9279999999999999</v>
      </c>
      <c r="M12" s="247">
        <f>November!L$40</f>
        <v>0.32312800000000003</v>
      </c>
      <c r="N12" s="247">
        <f>November!M$40</f>
        <v>1.66</v>
      </c>
      <c r="O12" s="246">
        <f t="shared" ref="O12" si="23">SUM(L12:N12)</f>
        <v>5.9111279999999997</v>
      </c>
      <c r="P12" s="247">
        <f>November!O$40</f>
        <v>21.757999999999996</v>
      </c>
      <c r="Q12" s="247">
        <f>November!P$40</f>
        <v>0.67329599999999989</v>
      </c>
      <c r="R12" s="247">
        <f>November!Q$40</f>
        <v>14.27</v>
      </c>
      <c r="S12" s="246">
        <f t="shared" ref="S12" si="24">SUM(P12:R12)</f>
        <v>36.701295999999999</v>
      </c>
      <c r="T12" s="247">
        <f>November!S$40</f>
        <v>4.452</v>
      </c>
      <c r="U12" s="247">
        <f>November!T$40</f>
        <v>0.3785599999999999</v>
      </c>
      <c r="V12" s="247">
        <f>November!U$40</f>
        <v>1.84</v>
      </c>
      <c r="W12" s="246">
        <f t="shared" ref="W12" si="25">SUM(T12:V12)</f>
        <v>6.67056</v>
      </c>
      <c r="X12" s="247">
        <f>November!W$40</f>
        <v>5.46</v>
      </c>
      <c r="Y12" s="247">
        <f>November!X$40</f>
        <v>0.23659999999999998</v>
      </c>
      <c r="Z12" s="247">
        <f>November!Y$40</f>
        <v>1.8</v>
      </c>
      <c r="AA12" s="246">
        <f t="shared" ref="AA12" si="26">SUM(X12:Z12)</f>
        <v>7.4965999999999999</v>
      </c>
    </row>
    <row r="13" spans="1:52" x14ac:dyDescent="0.3">
      <c r="A13" s="248">
        <v>6</v>
      </c>
      <c r="B13" s="251" t="s">
        <v>68</v>
      </c>
      <c r="C13" s="248">
        <f t="shared" si="6"/>
        <v>2024</v>
      </c>
      <c r="D13" s="247">
        <f>Desember!$C$40</f>
        <v>6.24</v>
      </c>
      <c r="E13" s="247">
        <f>Desember!$D$40</f>
        <v>0.30211999999999994</v>
      </c>
      <c r="F13" s="247">
        <f>Desember!$E$40</f>
        <v>2.6629999999999998</v>
      </c>
      <c r="G13" s="246">
        <f t="shared" si="0"/>
        <v>9.2051200000000009</v>
      </c>
      <c r="H13" s="247">
        <f>Desember!G$40</f>
        <v>20.309200000000001</v>
      </c>
      <c r="I13" s="247">
        <f>Desember!H$40</f>
        <v>0.39207999999999998</v>
      </c>
      <c r="J13" s="247">
        <f>Desember!I$40</f>
        <v>11.1</v>
      </c>
      <c r="K13" s="246">
        <f t="shared" ref="K13" si="27">SUM(H13:J13)</f>
        <v>31.801279999999998</v>
      </c>
      <c r="L13" s="247">
        <f>Desember!K$40</f>
        <v>7.7460000000000004</v>
      </c>
      <c r="M13" s="247">
        <f>Desember!L$40</f>
        <v>0.36087999999999987</v>
      </c>
      <c r="N13" s="247">
        <f>Desember!M$40</f>
        <v>2.25</v>
      </c>
      <c r="O13" s="246">
        <f t="shared" ref="O13" si="28">SUM(L13:N13)</f>
        <v>10.35688</v>
      </c>
      <c r="P13" s="247">
        <f>Desember!O$40</f>
        <v>28.681239999999999</v>
      </c>
      <c r="Q13" s="247">
        <f>Desember!P$40</f>
        <v>0.59643999999999986</v>
      </c>
      <c r="R13" s="247">
        <f>Desember!Q$40</f>
        <v>12.2</v>
      </c>
      <c r="S13" s="246">
        <f t="shared" ref="S13" si="29">SUM(P13:R13)</f>
        <v>41.477679999999999</v>
      </c>
      <c r="T13" s="247">
        <f>Desember!S$40</f>
        <v>27.024000000000001</v>
      </c>
      <c r="U13" s="247">
        <f>Desember!T$40</f>
        <v>0.10400000000000002</v>
      </c>
      <c r="V13" s="247">
        <f>Desember!U$40</f>
        <v>15.831</v>
      </c>
      <c r="W13" s="246">
        <f t="shared" ref="W13" si="30">SUM(T13:V13)</f>
        <v>42.959000000000003</v>
      </c>
      <c r="X13" s="247">
        <f>Desember!W$40</f>
        <v>5.8079999999999998</v>
      </c>
      <c r="Y13" s="247">
        <f>Desember!X$40</f>
        <v>0.16639999999999996</v>
      </c>
      <c r="Z13" s="247">
        <f>Desember!Y$40</f>
        <v>1.518</v>
      </c>
      <c r="AA13" s="246">
        <f t="shared" ref="AA13" si="31">SUM(X13:Z13)</f>
        <v>7.4923999999999999</v>
      </c>
    </row>
    <row r="14" spans="1:52" x14ac:dyDescent="0.3">
      <c r="A14" s="58">
        <v>7</v>
      </c>
      <c r="B14" s="253" t="s">
        <v>69</v>
      </c>
      <c r="C14" s="58">
        <f>$G$3</f>
        <v>2025</v>
      </c>
      <c r="D14" s="56">
        <f>Januari!$C$40</f>
        <v>3.6440000000000001</v>
      </c>
      <c r="E14" s="56">
        <f>Januari!$D$40</f>
        <v>0.26624000000000003</v>
      </c>
      <c r="F14" s="56">
        <f>Januari!$E$40</f>
        <v>4.93</v>
      </c>
      <c r="G14" s="246">
        <f t="shared" si="0"/>
        <v>8.8402399999999997</v>
      </c>
      <c r="H14" s="56">
        <f>Januari!G$40</f>
        <v>6.8088000000000015</v>
      </c>
      <c r="I14" s="56">
        <f>Januari!H$40</f>
        <v>0.39260000000000006</v>
      </c>
      <c r="J14" s="56">
        <f>Januari!I$40</f>
        <v>4.0242279999999999</v>
      </c>
      <c r="K14" s="246">
        <f t="shared" ref="K14" si="32">SUM(H14:J14)</f>
        <v>11.225628</v>
      </c>
      <c r="L14" s="56">
        <f>Januari!K$40</f>
        <v>2.5375999999999999</v>
      </c>
      <c r="M14" s="56">
        <f>Januari!L$40</f>
        <v>0.32188000000000005</v>
      </c>
      <c r="N14" s="56">
        <f>Januari!M$40</f>
        <v>3.5405000000000002</v>
      </c>
      <c r="O14" s="246">
        <f t="shared" ref="O14" si="33">SUM(L14:N14)</f>
        <v>6.3999800000000002</v>
      </c>
      <c r="P14" s="56">
        <f>Januari!O$40</f>
        <v>1.9107999999999998</v>
      </c>
      <c r="Q14" s="56">
        <f>Januari!P$40</f>
        <v>0.53092000000000017</v>
      </c>
      <c r="R14" s="56">
        <f>Januari!Q$40</f>
        <v>6.4009</v>
      </c>
      <c r="S14" s="246">
        <f t="shared" ref="S14" si="34">SUM(P14:R14)</f>
        <v>8.8426200000000001</v>
      </c>
      <c r="T14" s="56">
        <f>Januari!S$40</f>
        <v>0</v>
      </c>
      <c r="U14" s="56">
        <f>Januari!T$40</f>
        <v>0.30680000000000002</v>
      </c>
      <c r="V14" s="56">
        <f>Januari!U$40</f>
        <v>4.0449999999999999</v>
      </c>
      <c r="W14" s="246">
        <f t="shared" ref="W14" si="35">SUM(T14:V14)</f>
        <v>4.3517999999999999</v>
      </c>
      <c r="X14" s="56">
        <f>Januari!W$40</f>
        <v>1.9</v>
      </c>
      <c r="Y14" s="56">
        <f>Januari!X$40</f>
        <v>0.21839999999999998</v>
      </c>
      <c r="Z14" s="56">
        <f>Januari!Y$40</f>
        <v>2.84</v>
      </c>
      <c r="AA14" s="246">
        <f t="shared" ref="AA14" si="36">SUM(X14:Z14)</f>
        <v>4.9583999999999993</v>
      </c>
    </row>
    <row r="15" spans="1:52" x14ac:dyDescent="0.3">
      <c r="A15" s="58">
        <v>8</v>
      </c>
      <c r="B15" s="253" t="s">
        <v>70</v>
      </c>
      <c r="C15" s="58">
        <f t="shared" ref="C15:C19" si="37">$G$3</f>
        <v>2025</v>
      </c>
      <c r="D15" s="56">
        <f>Februari!$C$40</f>
        <v>6.944</v>
      </c>
      <c r="E15" s="56">
        <f>Februari!$D$40</f>
        <v>0.39155999999999996</v>
      </c>
      <c r="F15" s="56">
        <f>Februari!$E$40</f>
        <v>0</v>
      </c>
      <c r="G15" s="246">
        <f t="shared" si="0"/>
        <v>7.3355600000000001</v>
      </c>
      <c r="H15" s="56">
        <f>Februari!G$40</f>
        <v>21.362800000000004</v>
      </c>
      <c r="I15" s="56">
        <f>Februari!H$40</f>
        <v>0.37543999999999988</v>
      </c>
      <c r="J15" s="56">
        <f>Februari!I$40</f>
        <v>5</v>
      </c>
      <c r="K15" s="246">
        <f t="shared" ref="K15" si="38">SUM(H15:J15)</f>
        <v>26.738240000000005</v>
      </c>
      <c r="L15" s="56">
        <f>Februari!K$40</f>
        <v>0.3196</v>
      </c>
      <c r="M15" s="56">
        <f>Februari!L$40</f>
        <v>0.28184000000000009</v>
      </c>
      <c r="N15" s="56">
        <f>Februari!M$40</f>
        <v>0</v>
      </c>
      <c r="O15" s="246">
        <f t="shared" ref="O15" si="39">SUM(L15:N15)</f>
        <v>0.60144000000000009</v>
      </c>
      <c r="P15" s="56">
        <f>Februari!O$40</f>
        <v>30.355400000000003</v>
      </c>
      <c r="Q15" s="56">
        <f>Februari!P$40</f>
        <v>0.41028000000000003</v>
      </c>
      <c r="R15" s="56">
        <f>Februari!Q$40</f>
        <v>7.5</v>
      </c>
      <c r="S15" s="246">
        <f t="shared" ref="S15" si="40">SUM(P15:R15)</f>
        <v>38.265680000000003</v>
      </c>
      <c r="T15" s="56">
        <f>Februari!S$40</f>
        <v>6.16</v>
      </c>
      <c r="U15" s="56">
        <f>Februari!T$40</f>
        <v>0.27039999999999992</v>
      </c>
      <c r="V15" s="56">
        <f>Februari!U$40</f>
        <v>0</v>
      </c>
      <c r="W15" s="246">
        <f t="shared" ref="W15" si="41">SUM(T15:V15)</f>
        <v>6.4303999999999997</v>
      </c>
      <c r="X15" s="56">
        <f>Februari!W$40</f>
        <v>3.64</v>
      </c>
      <c r="Y15" s="56">
        <f>Februari!X$40</f>
        <v>0.16639999999999999</v>
      </c>
      <c r="Z15" s="56">
        <f>Februari!Y$40</f>
        <v>0</v>
      </c>
      <c r="AA15" s="246">
        <f t="shared" ref="AA15" si="42">SUM(X15:Z15)</f>
        <v>3.8064</v>
      </c>
    </row>
    <row r="16" spans="1:52" x14ac:dyDescent="0.3">
      <c r="A16" s="58">
        <v>9</v>
      </c>
      <c r="B16" s="253" t="s">
        <v>71</v>
      </c>
      <c r="C16" s="58">
        <f t="shared" si="37"/>
        <v>2025</v>
      </c>
      <c r="D16" s="56">
        <f>Maret!$C$40</f>
        <v>4.8099999999999996</v>
      </c>
      <c r="E16" s="56">
        <f>Maret!$D$40</f>
        <v>9.2990000000000003E-2</v>
      </c>
      <c r="F16" s="56">
        <f>Maret!$E$40</f>
        <v>1.03</v>
      </c>
      <c r="G16" s="246">
        <f t="shared" si="0"/>
        <v>5.9329900000000002</v>
      </c>
      <c r="H16" s="56">
        <f>Maret!G$40</f>
        <v>1.5119</v>
      </c>
      <c r="I16" s="56">
        <f>Maret!H$40</f>
        <v>6.0599999999999994E-2</v>
      </c>
      <c r="J16" s="56">
        <f>Maret!I$40</f>
        <v>1.2</v>
      </c>
      <c r="K16" s="246">
        <f t="shared" ref="K16" si="43">SUM(H16:J16)</f>
        <v>2.7725</v>
      </c>
      <c r="L16" s="56">
        <f>Maret!K$40</f>
        <v>7.1900000000000006E-2</v>
      </c>
      <c r="M16" s="56">
        <f>Maret!L$40</f>
        <v>0.1047</v>
      </c>
      <c r="N16" s="56">
        <f>Maret!M$40</f>
        <v>0.5</v>
      </c>
      <c r="O16" s="246">
        <f t="shared" ref="O16" si="44">SUM(L16:N16)</f>
        <v>0.67659999999999998</v>
      </c>
      <c r="P16" s="56">
        <f>Maret!O$40</f>
        <v>6.7321</v>
      </c>
      <c r="Q16" s="56">
        <f>Maret!P$40</f>
        <v>9.219999999999999E-2</v>
      </c>
      <c r="R16" s="56">
        <f>Maret!Q$40</f>
        <v>1.48</v>
      </c>
      <c r="S16" s="246">
        <f t="shared" ref="S16" si="45">SUM(P16:R16)</f>
        <v>8.3042999999999996</v>
      </c>
      <c r="T16" s="56">
        <f>Maret!S$40</f>
        <v>1.18</v>
      </c>
      <c r="U16" s="56">
        <f>Maret!T$40</f>
        <v>5.5E-2</v>
      </c>
      <c r="V16" s="56">
        <f>Maret!U$40</f>
        <v>0.46400000000000002</v>
      </c>
      <c r="W16" s="246">
        <f t="shared" ref="W16" si="46">SUM(T16:V16)</f>
        <v>1.6989999999999998</v>
      </c>
      <c r="X16" s="56">
        <f>Maret!W$40</f>
        <v>0.62</v>
      </c>
      <c r="Y16" s="56">
        <f>Maret!X$40</f>
        <v>0.11799999999999999</v>
      </c>
      <c r="Z16" s="56">
        <f>Maret!Y$40</f>
        <v>0.41599999999999998</v>
      </c>
      <c r="AA16" s="246">
        <f t="shared" ref="AA16" si="47">SUM(X16:Z16)</f>
        <v>1.1539999999999999</v>
      </c>
    </row>
    <row r="17" spans="1:27" x14ac:dyDescent="0.3">
      <c r="A17" s="58">
        <v>10</v>
      </c>
      <c r="B17" s="253" t="s">
        <v>72</v>
      </c>
      <c r="C17" s="58">
        <f t="shared" si="37"/>
        <v>2025</v>
      </c>
      <c r="D17" s="56">
        <f>April!$C$40</f>
        <v>1.399</v>
      </c>
      <c r="E17" s="56">
        <f>April!$D$40</f>
        <v>9.3999999999999986E-2</v>
      </c>
      <c r="F17" s="56">
        <f>April!$E$40</f>
        <v>0</v>
      </c>
      <c r="G17" s="246">
        <f t="shared" si="0"/>
        <v>1.4930000000000001</v>
      </c>
      <c r="H17" s="56">
        <f>April!G$40</f>
        <v>2.1673000000000004</v>
      </c>
      <c r="I17" s="56">
        <f>April!H$40</f>
        <v>4.48E-2</v>
      </c>
      <c r="J17" s="56">
        <f>April!I$40</f>
        <v>0</v>
      </c>
      <c r="K17" s="246">
        <f t="shared" ref="K17" si="48">SUM(H17:J17)</f>
        <v>2.2121000000000004</v>
      </c>
      <c r="L17" s="56">
        <f>April!K$40</f>
        <v>8.9800000000000005E-2</v>
      </c>
      <c r="M17" s="56">
        <f>April!L$40</f>
        <v>4.2700000000000009E-2</v>
      </c>
      <c r="N17" s="56">
        <f>April!M$40</f>
        <v>0</v>
      </c>
      <c r="O17" s="246">
        <f t="shared" ref="O17" si="49">SUM(L17:N17)</f>
        <v>0.13250000000000001</v>
      </c>
      <c r="P17" s="56">
        <f>April!O$40</f>
        <v>2.96</v>
      </c>
      <c r="Q17" s="56">
        <f>April!P$40</f>
        <v>7.1300000000000016E-2</v>
      </c>
      <c r="R17" s="56">
        <f>April!Q$40</f>
        <v>0</v>
      </c>
      <c r="S17" s="246">
        <f t="shared" ref="S17" si="50">SUM(P17:R17)</f>
        <v>3.0312999999999999</v>
      </c>
      <c r="T17" s="56">
        <f>April!S$40</f>
        <v>2.7050000000000001</v>
      </c>
      <c r="U17" s="56">
        <f>April!T$40</f>
        <v>4.9000000000000002E-2</v>
      </c>
      <c r="V17" s="56">
        <f>April!U$40</f>
        <v>0</v>
      </c>
      <c r="W17" s="246">
        <f t="shared" ref="W17" si="51">SUM(T17:V17)</f>
        <v>2.754</v>
      </c>
      <c r="X17" s="56">
        <f>April!W$40</f>
        <v>0.90500000000000003</v>
      </c>
      <c r="Y17" s="56">
        <f>April!X$40</f>
        <v>2.4E-2</v>
      </c>
      <c r="Z17" s="56">
        <f>April!Y$40</f>
        <v>0</v>
      </c>
      <c r="AA17" s="246">
        <f t="shared" ref="AA17" si="52">SUM(X17:Z17)</f>
        <v>0.92900000000000005</v>
      </c>
    </row>
    <row r="18" spans="1:27" x14ac:dyDescent="0.3">
      <c r="A18" s="58">
        <v>11</v>
      </c>
      <c r="B18" s="253" t="s">
        <v>35</v>
      </c>
      <c r="C18" s="58">
        <f t="shared" si="37"/>
        <v>2025</v>
      </c>
      <c r="D18" s="56">
        <f>Mei!$C$40</f>
        <v>1.58</v>
      </c>
      <c r="E18" s="56">
        <f>Mei!$D$40</f>
        <v>6.4299999999999996E-2</v>
      </c>
      <c r="F18" s="56">
        <f>Mei!$E$40</f>
        <v>3.3000000000000002E-2</v>
      </c>
      <c r="G18" s="246">
        <f t="shared" si="0"/>
        <v>1.6773</v>
      </c>
      <c r="H18" s="56">
        <f>Mei!G$40</f>
        <v>0.64019999999999999</v>
      </c>
      <c r="I18" s="56">
        <f>Mei!H$40</f>
        <v>9.5299999999999996E-2</v>
      </c>
      <c r="J18" s="56">
        <f>Mei!I$40</f>
        <v>0.08</v>
      </c>
      <c r="K18" s="246">
        <f t="shared" ref="K18" si="53">SUM(H18:J18)</f>
        <v>0.8155</v>
      </c>
      <c r="L18" s="56">
        <f>Mei!K$40</f>
        <v>6.6200000000000009E-2</v>
      </c>
      <c r="M18" s="56">
        <f>Mei!L$40</f>
        <v>6.2E-2</v>
      </c>
      <c r="N18" s="56">
        <f>Mei!M$40</f>
        <v>0.1</v>
      </c>
      <c r="O18" s="246">
        <f t="shared" ref="O18" si="54">SUM(L18:N18)</f>
        <v>0.22820000000000001</v>
      </c>
      <c r="P18" s="56">
        <f>Mei!O$40</f>
        <v>3.0383999999999998</v>
      </c>
      <c r="Q18" s="56">
        <f>Mei!P$40</f>
        <v>0.11760000000000001</v>
      </c>
      <c r="R18" s="56">
        <f>Mei!Q$40</f>
        <v>0.13</v>
      </c>
      <c r="S18" s="246">
        <f t="shared" ref="S18" si="55">SUM(P18:R18)</f>
        <v>3.2859999999999996</v>
      </c>
      <c r="T18" s="56">
        <f>Mei!S$40</f>
        <v>2.58</v>
      </c>
      <c r="U18" s="56">
        <f>Mei!T$40</f>
        <v>8.5000000000000006E-2</v>
      </c>
      <c r="V18" s="56">
        <f>Mei!U$40</f>
        <v>2.9000000000000001E-2</v>
      </c>
      <c r="W18" s="246">
        <f t="shared" ref="W18" si="56">SUM(T18:V18)</f>
        <v>2.694</v>
      </c>
      <c r="X18" s="56">
        <f>Mei!W$40</f>
        <v>1.19</v>
      </c>
      <c r="Y18" s="56">
        <f>Mei!X$40</f>
        <v>3.2000000000000001E-2</v>
      </c>
      <c r="Z18" s="56">
        <f>Mei!Y$40</f>
        <v>5.8999999999999997E-2</v>
      </c>
      <c r="AA18" s="246">
        <f t="shared" ref="AA18" si="57">SUM(X18:Z18)</f>
        <v>1.2809999999999999</v>
      </c>
    </row>
    <row r="19" spans="1:27" x14ac:dyDescent="0.3">
      <c r="A19" s="58">
        <v>12</v>
      </c>
      <c r="B19" s="253" t="s">
        <v>73</v>
      </c>
      <c r="C19" s="58">
        <f t="shared" si="37"/>
        <v>2025</v>
      </c>
      <c r="D19" s="56">
        <f>Juni!$C$40</f>
        <v>0.64049999999999996</v>
      </c>
      <c r="E19" s="56">
        <f>Juni!$D$40</f>
        <v>0.45619999999999999</v>
      </c>
      <c r="F19" s="56">
        <f>Juni!$E$40</f>
        <v>0.12</v>
      </c>
      <c r="G19" s="246">
        <f t="shared" si="0"/>
        <v>1.2166999999999999</v>
      </c>
      <c r="H19" s="56">
        <f>Juni!G$40</f>
        <v>0.65179999999999993</v>
      </c>
      <c r="I19" s="56">
        <f>Juni!H$40</f>
        <v>0.60820000000000007</v>
      </c>
      <c r="J19" s="56">
        <f>Juni!I$40</f>
        <v>0.4</v>
      </c>
      <c r="K19" s="246">
        <f t="shared" ref="K19" si="58">SUM(H19:J19)</f>
        <v>1.6600000000000001</v>
      </c>
      <c r="L19" s="56">
        <f>Juni!K$40</f>
        <v>0.90439999999999987</v>
      </c>
      <c r="M19" s="56">
        <f>Juni!L$40</f>
        <v>0.15460000000000002</v>
      </c>
      <c r="N19" s="56">
        <f>Juni!M$40</f>
        <v>0.2</v>
      </c>
      <c r="O19" s="246">
        <f t="shared" ref="O19" si="59">SUM(L19:N19)</f>
        <v>1.2589999999999999</v>
      </c>
      <c r="P19" s="56">
        <f>Juni!O$40</f>
        <v>0.73939999999999995</v>
      </c>
      <c r="Q19" s="56">
        <f>Juni!P$40</f>
        <v>0.35849999999999999</v>
      </c>
      <c r="R19" s="56">
        <f>Juni!Q$40</f>
        <v>0.4</v>
      </c>
      <c r="S19" s="246">
        <f t="shared" ref="S19" si="60">SUM(P19:R19)</f>
        <v>1.4979</v>
      </c>
      <c r="T19" s="56">
        <f>Juni!S$40</f>
        <v>0</v>
      </c>
      <c r="U19" s="56">
        <f>Juni!T$40</f>
        <v>0.29499999999999998</v>
      </c>
      <c r="V19" s="56">
        <f>Juni!U$40</f>
        <v>0.02</v>
      </c>
      <c r="W19" s="246">
        <f t="shared" ref="W19" si="61">SUM(T19:V19)</f>
        <v>0.315</v>
      </c>
      <c r="X19" s="56">
        <f>Juni!W$40</f>
        <v>0.09</v>
      </c>
      <c r="Y19" s="56">
        <f>Juni!X$40</f>
        <v>0.72</v>
      </c>
      <c r="Z19" s="56">
        <f>Juni!Y$40</f>
        <v>0.1</v>
      </c>
      <c r="AA19" s="246">
        <f t="shared" ref="AA19" si="62">SUM(X19:Z19)</f>
        <v>0.90999999999999992</v>
      </c>
    </row>
    <row r="20" spans="1:27" s="200" customFormat="1" x14ac:dyDescent="0.25">
      <c r="A20" s="270" t="s">
        <v>82</v>
      </c>
      <c r="B20" s="293"/>
      <c r="C20" s="271"/>
      <c r="D20" s="237">
        <f>SUM(D8:D19)</f>
        <v>37.122500000000002</v>
      </c>
      <c r="E20" s="237">
        <f t="shared" ref="E20:F20" si="63">SUM(E8:E19)</f>
        <v>4.01729</v>
      </c>
      <c r="F20" s="237">
        <f t="shared" si="63"/>
        <v>27.836000000000006</v>
      </c>
      <c r="G20" s="237">
        <f>SUM(G8:G19)</f>
        <v>68.975790000000003</v>
      </c>
      <c r="H20" s="237">
        <f>SUM(H8:H19)</f>
        <v>99.973600000000005</v>
      </c>
      <c r="I20" s="237">
        <f t="shared" ref="I20:J20" si="64">SUM(I8:I19)</f>
        <v>5.0020240000000005</v>
      </c>
      <c r="J20" s="237">
        <f t="shared" si="64"/>
        <v>63.858228000000004</v>
      </c>
      <c r="K20" s="237">
        <f>SUM(K8:K19)</f>
        <v>168.83385200000001</v>
      </c>
      <c r="L20" s="237">
        <f>SUM(L8:L19)</f>
        <v>27.2483</v>
      </c>
      <c r="M20" s="237">
        <f t="shared" ref="M20" si="65">SUM(M8:M19)</f>
        <v>3.0716399999999999</v>
      </c>
      <c r="N20" s="237">
        <f t="shared" ref="N20" si="66">SUM(N8:N19)</f>
        <v>17.489500000000003</v>
      </c>
      <c r="O20" s="237">
        <f>SUM(O8:O19)</f>
        <v>47.809439999999995</v>
      </c>
      <c r="P20" s="237">
        <f t="shared" ref="P20" si="67">SUM(P8:P19)</f>
        <v>140.07773999999998</v>
      </c>
      <c r="Q20" s="237">
        <f t="shared" ref="Q20" si="68">SUM(Q8:Q19)</f>
        <v>11.26788</v>
      </c>
      <c r="R20" s="237">
        <f t="shared" ref="R20" si="69">SUM(R8:R19)</f>
        <v>107.9389</v>
      </c>
      <c r="S20" s="237">
        <f>SUM(S8:S19)</f>
        <v>259.28452000000004</v>
      </c>
      <c r="T20" s="237">
        <f>SUM(T8:T19)</f>
        <v>48.660999999999994</v>
      </c>
      <c r="U20" s="237">
        <f t="shared" ref="U20:V20" si="70">SUM(U8:U19)</f>
        <v>3.4921999999999991</v>
      </c>
      <c r="V20" s="237">
        <f t="shared" si="70"/>
        <v>32.097000000000008</v>
      </c>
      <c r="W20" s="237">
        <f>SUM(W8:W19)</f>
        <v>84.250200000000007</v>
      </c>
      <c r="X20" s="237">
        <f>SUM(X8:X19)</f>
        <v>22.673000000000002</v>
      </c>
      <c r="Y20" s="237">
        <f t="shared" ref="Y20:Z20" si="71">SUM(Y8:Y19)</f>
        <v>9.06996</v>
      </c>
      <c r="Z20" s="237">
        <f t="shared" si="71"/>
        <v>18.512000000000004</v>
      </c>
      <c r="AA20" s="237">
        <f>SUM(AA8:AA19)</f>
        <v>50.25495999999999</v>
      </c>
    </row>
    <row r="21" spans="1:27" x14ac:dyDescent="0.3">
      <c r="A21" s="131"/>
      <c r="B21" s="131"/>
      <c r="C21" s="131"/>
      <c r="D21" s="131"/>
      <c r="E21" s="131"/>
      <c r="F21" s="131"/>
      <c r="G21" s="131"/>
      <c r="H21" s="131"/>
      <c r="I21" s="131"/>
      <c r="J21" s="131"/>
      <c r="K21" s="131"/>
      <c r="L21" s="131"/>
    </row>
    <row r="22" spans="1:27" x14ac:dyDescent="0.3">
      <c r="A22" s="192"/>
      <c r="B22" s="192"/>
      <c r="C22" s="192"/>
      <c r="D22" s="194" t="s">
        <v>43</v>
      </c>
      <c r="E22" s="194"/>
      <c r="F22" s="194"/>
      <c r="G22" s="194"/>
      <c r="H22" s="195"/>
      <c r="I22" s="192"/>
      <c r="J22" s="193"/>
      <c r="K22" s="193"/>
      <c r="L22" s="192"/>
      <c r="M22" s="193"/>
      <c r="N22" s="193"/>
      <c r="O22" s="193"/>
      <c r="P22" s="193"/>
      <c r="Q22" s="193"/>
      <c r="R22" s="193"/>
      <c r="S22" s="193"/>
      <c r="T22" s="193"/>
      <c r="U22" s="193"/>
      <c r="V22" s="195" t="s">
        <v>46</v>
      </c>
      <c r="W22" s="193"/>
      <c r="X22" s="193"/>
      <c r="Y22" s="193"/>
      <c r="Z22" s="193"/>
      <c r="AA22" s="193"/>
    </row>
    <row r="23" spans="1:27" x14ac:dyDescent="0.3">
      <c r="A23" s="192"/>
      <c r="B23" s="192"/>
      <c r="C23" s="192"/>
      <c r="D23" s="194" t="s">
        <v>48</v>
      </c>
      <c r="E23" s="194"/>
      <c r="F23" s="194"/>
      <c r="G23" s="194"/>
      <c r="H23" s="194"/>
      <c r="I23" s="192"/>
      <c r="J23" s="193"/>
      <c r="K23" s="193"/>
      <c r="L23" s="192"/>
      <c r="M23" s="193"/>
      <c r="N23" s="193"/>
      <c r="O23" s="193"/>
      <c r="P23" s="193"/>
      <c r="Q23" s="193"/>
      <c r="R23" s="193"/>
      <c r="S23" s="193"/>
      <c r="T23" s="193"/>
      <c r="U23" s="193"/>
      <c r="V23" s="194" t="s">
        <v>49</v>
      </c>
      <c r="W23" s="193"/>
      <c r="X23" s="193"/>
      <c r="Y23" s="193"/>
      <c r="Z23" s="193"/>
      <c r="AA23" s="193"/>
    </row>
    <row r="24" spans="1:27" x14ac:dyDescent="0.3">
      <c r="A24" s="192"/>
      <c r="B24" s="192"/>
      <c r="C24" s="192"/>
      <c r="D24" s="194"/>
      <c r="E24" s="194"/>
      <c r="F24" s="194"/>
      <c r="G24" s="194"/>
      <c r="H24" s="194"/>
      <c r="I24" s="192"/>
      <c r="J24" s="193"/>
      <c r="K24" s="193"/>
      <c r="L24" s="192"/>
      <c r="M24" s="193"/>
      <c r="N24" s="193"/>
      <c r="O24" s="193"/>
      <c r="P24" s="193"/>
      <c r="Q24" s="193"/>
      <c r="R24" s="193"/>
      <c r="S24" s="193"/>
      <c r="T24" s="193"/>
      <c r="U24" s="193"/>
      <c r="V24" s="194"/>
      <c r="W24" s="193"/>
      <c r="X24" s="193"/>
      <c r="Y24" s="193"/>
      <c r="Z24" s="193"/>
      <c r="AA24" s="193"/>
    </row>
    <row r="25" spans="1:27" x14ac:dyDescent="0.3">
      <c r="A25" s="192"/>
      <c r="B25" s="192"/>
      <c r="C25" s="192"/>
      <c r="D25" s="194" t="s">
        <v>138</v>
      </c>
      <c r="E25" s="194"/>
      <c r="F25" s="194"/>
      <c r="G25" s="194"/>
      <c r="H25" s="194"/>
      <c r="I25" s="192"/>
      <c r="J25" s="193"/>
      <c r="K25" s="193"/>
      <c r="L25" s="192"/>
      <c r="M25" s="193"/>
      <c r="N25" s="193"/>
      <c r="O25" s="193"/>
      <c r="P25" s="193"/>
      <c r="Q25" s="193"/>
      <c r="R25" s="193"/>
      <c r="S25" s="193"/>
      <c r="T25" s="193"/>
      <c r="U25" s="193"/>
      <c r="V25" s="194" t="s">
        <v>137</v>
      </c>
      <c r="W25" s="193"/>
      <c r="X25" s="193"/>
      <c r="Y25" s="193"/>
      <c r="Z25" s="193"/>
      <c r="AA25" s="193"/>
    </row>
    <row r="26" spans="1:27" x14ac:dyDescent="0.3">
      <c r="A26" s="192"/>
      <c r="B26" s="192"/>
      <c r="C26" s="192"/>
      <c r="D26" s="194"/>
      <c r="E26" s="194"/>
      <c r="F26" s="194"/>
      <c r="G26" s="194"/>
      <c r="H26" s="194"/>
      <c r="I26" s="192"/>
      <c r="J26" s="193"/>
      <c r="K26" s="193"/>
      <c r="L26" s="192"/>
      <c r="M26" s="193"/>
      <c r="N26" s="193"/>
      <c r="O26" s="193"/>
      <c r="P26" s="193"/>
      <c r="Q26" s="193"/>
      <c r="R26" s="193"/>
      <c r="S26" s="193"/>
      <c r="T26" s="193"/>
      <c r="U26" s="193"/>
      <c r="V26" s="194"/>
      <c r="W26" s="193"/>
      <c r="X26" s="193"/>
      <c r="Y26" s="193"/>
      <c r="Z26" s="193"/>
      <c r="AA26" s="193"/>
    </row>
    <row r="27" spans="1:27" x14ac:dyDescent="0.3">
      <c r="A27" s="192"/>
      <c r="B27" s="192"/>
      <c r="C27" s="192"/>
      <c r="D27" s="194" t="s">
        <v>44</v>
      </c>
      <c r="E27" s="194"/>
      <c r="F27" s="194"/>
      <c r="G27" s="194"/>
      <c r="H27" s="194"/>
      <c r="I27" s="192"/>
      <c r="J27" s="193"/>
      <c r="K27" s="193"/>
      <c r="L27" s="192"/>
      <c r="M27" s="193"/>
      <c r="N27" s="193"/>
      <c r="O27" s="193"/>
      <c r="P27" s="193"/>
      <c r="Q27" s="193"/>
      <c r="R27" s="193"/>
      <c r="S27" s="193"/>
      <c r="T27" s="193"/>
      <c r="U27" s="193"/>
      <c r="V27" s="194" t="s">
        <v>47</v>
      </c>
      <c r="W27" s="193"/>
      <c r="X27" s="193"/>
      <c r="Y27" s="193"/>
      <c r="Z27" s="193"/>
      <c r="AA27" s="193"/>
    </row>
    <row r="28" spans="1:27" x14ac:dyDescent="0.3">
      <c r="A28" s="192"/>
      <c r="B28" s="192"/>
      <c r="C28" s="192"/>
      <c r="D28" s="194" t="s">
        <v>45</v>
      </c>
      <c r="E28" s="194"/>
      <c r="F28" s="194"/>
      <c r="G28" s="194"/>
      <c r="H28" s="194"/>
      <c r="I28" s="196"/>
      <c r="J28" s="193"/>
      <c r="K28" s="193"/>
      <c r="L28" s="192"/>
      <c r="M28" s="193"/>
      <c r="N28" s="193"/>
      <c r="O28" s="193"/>
      <c r="P28" s="193"/>
      <c r="Q28" s="193"/>
      <c r="R28" s="193"/>
      <c r="S28" s="193"/>
      <c r="T28" s="193"/>
      <c r="U28" s="193"/>
      <c r="V28" s="194" t="s">
        <v>45</v>
      </c>
      <c r="W28" s="193"/>
      <c r="X28" s="193"/>
      <c r="Y28" s="193"/>
      <c r="Z28" s="193"/>
      <c r="AA28" s="193"/>
    </row>
    <row r="29" spans="1:27" x14ac:dyDescent="0.3">
      <c r="A29" s="131"/>
      <c r="B29" s="131"/>
      <c r="C29" s="131"/>
      <c r="D29" s="131"/>
      <c r="E29" s="131"/>
      <c r="F29" s="131"/>
      <c r="G29" s="131"/>
      <c r="H29" s="131"/>
      <c r="I29" s="131"/>
      <c r="J29" s="131"/>
      <c r="K29" s="131"/>
      <c r="L29" s="131"/>
    </row>
    <row r="30" spans="1:27" x14ac:dyDescent="0.3">
      <c r="B30" s="198"/>
      <c r="C30" s="198"/>
    </row>
  </sheetData>
  <sheetProtection algorithmName="SHA-512" hashValue="R1zHfGg3S8fIPqBuh88tsWXP1nSensxoFf5aQnOBh10YD2/iu3gSyrtuKEKA6HV4TiOqUU6S4We4qN/pTHVMdA==" saltValue="sTaVOvTAJNpV9SGg3/sRvw==" spinCount="100000" sheet="1" objects="1" scenarios="1" formatColumns="0" formatRows="0"/>
  <mergeCells count="10">
    <mergeCell ref="L6:O6"/>
    <mergeCell ref="H6:K6"/>
    <mergeCell ref="A20:C20"/>
    <mergeCell ref="T6:W6"/>
    <mergeCell ref="X6:AA6"/>
    <mergeCell ref="A6:A7"/>
    <mergeCell ref="B6:B7"/>
    <mergeCell ref="C6:C7"/>
    <mergeCell ref="D6:G6"/>
    <mergeCell ref="P6:S6"/>
  </mergeCells>
  <printOptions horizontalCentered="1"/>
  <pageMargins left="0.19685039370078741" right="0.19685039370078741" top="0.39370078740157483" bottom="0.39370078740157483" header="0.11811023622047245" footer="0.11811023622047245"/>
  <pageSetup paperSize="9" scale="65" orientation="landscape" r:id="rId1"/>
  <headerFooter>
    <oddFooter>&amp;R&amp;10Halaman &amp;P dari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30F69-C3A1-4721-81F2-5C197DA1E72B}">
  <sheetPr codeName="Sheet4">
    <tabColor rgb="FFFFFF00"/>
    <pageSetUpPr fitToPage="1"/>
  </sheetPr>
  <dimension ref="A1:AQ52"/>
  <sheetViews>
    <sheetView showGridLines="0" view="pageBreakPreview" zoomScale="70" zoomScaleNormal="82" zoomScaleSheetLayoutView="70" workbookViewId="0">
      <pane xSplit="2" ySplit="7" topLeftCell="C8" activePane="bottomRight" state="frozen"/>
      <selection activeCell="H31" sqref="H31"/>
      <selection pane="topRight" activeCell="H31" sqref="H31"/>
      <selection pane="bottomLeft" activeCell="H31" sqref="H31"/>
      <selection pane="bottomRight" activeCell="X8" activeCellId="5" sqref="D8:D38 H8:H38 L8:L38 P8:P38 T8:T38 X8:X38"/>
    </sheetView>
  </sheetViews>
  <sheetFormatPr defaultColWidth="9.140625" defaultRowHeight="15" x14ac:dyDescent="0.25"/>
  <cols>
    <col min="1" max="1" width="12" style="128" customWidth="1"/>
    <col min="2" max="2" width="5" style="128" bestFit="1" customWidth="1"/>
    <col min="3" max="3" width="10.85546875" style="129" customWidth="1"/>
    <col min="4" max="4" width="7.85546875" style="129" customWidth="1"/>
    <col min="5" max="5" width="10.7109375" style="129" customWidth="1"/>
    <col min="6" max="6" width="10.85546875" style="89" customWidth="1"/>
    <col min="7" max="7" width="10.85546875" style="129" customWidth="1"/>
    <col min="8" max="8" width="7.85546875" style="129" customWidth="1"/>
    <col min="9" max="9" width="10.5703125" style="129" customWidth="1"/>
    <col min="10" max="10" width="11.85546875" style="89" customWidth="1"/>
    <col min="11" max="13" width="7.85546875" style="129" customWidth="1"/>
    <col min="14" max="14" width="7.85546875" style="89" customWidth="1"/>
    <col min="15" max="16" width="7.85546875" style="129" customWidth="1"/>
    <col min="17" max="17" width="9.140625" style="129" customWidth="1"/>
    <col min="18" max="18" width="9.140625" style="89" customWidth="1"/>
    <col min="19" max="21" width="7.85546875" style="129" customWidth="1"/>
    <col min="22" max="22" width="7.85546875" style="89" customWidth="1"/>
    <col min="23" max="25" width="7.85546875" style="129" customWidth="1"/>
    <col min="26" max="26" width="7.85546875" style="89" customWidth="1"/>
    <col min="27" max="27" width="8.42578125" style="91" customWidth="1"/>
    <col min="28" max="28" width="12.28515625" style="98" customWidth="1"/>
    <col min="29" max="29" width="8.5703125" style="98" hidden="1" customWidth="1"/>
    <col min="30" max="30" width="14.140625" style="129" hidden="1" customWidth="1"/>
    <col min="31" max="31" width="4.28515625" style="129" hidden="1" customWidth="1"/>
    <col min="32" max="32" width="11.7109375" style="129" hidden="1" customWidth="1"/>
    <col min="33" max="34" width="10.7109375" style="129" hidden="1" customWidth="1"/>
    <col min="35" max="35" width="8.5703125" style="129" hidden="1" customWidth="1"/>
    <col min="36" max="36" width="15.85546875" style="129" hidden="1" customWidth="1"/>
    <col min="37" max="37" width="4.28515625" style="129" hidden="1" customWidth="1"/>
    <col min="38" max="38" width="7.7109375" style="129" hidden="1" customWidth="1"/>
    <col min="39" max="39" width="11.5703125" style="129" hidden="1" customWidth="1"/>
    <col min="40" max="40" width="6.5703125" style="129" hidden="1" customWidth="1"/>
    <col min="41" max="41" width="11.85546875" style="129" hidden="1" customWidth="1"/>
    <col min="42" max="42" width="6.5703125" style="129" hidden="1" customWidth="1"/>
    <col min="43" max="43" width="11.85546875" style="129" hidden="1" customWidth="1"/>
    <col min="44" max="44" width="9.140625" style="98" customWidth="1"/>
    <col min="45" max="16384" width="9.140625" style="98"/>
  </cols>
  <sheetData>
    <row r="1" spans="1:43" x14ac:dyDescent="0.25">
      <c r="A1" s="226" t="s">
        <v>116</v>
      </c>
      <c r="B1" s="227" t="str">
        <f>'Rekap Neraca Pengelolaan Sampah'!C3</f>
        <v>PT PELINDO DAYA SEJAHTERA</v>
      </c>
    </row>
    <row r="2" spans="1:43" ht="15.75" thickBot="1" x14ac:dyDescent="0.3">
      <c r="A2" s="226" t="s">
        <v>42</v>
      </c>
      <c r="B2" s="227">
        <f>'Rekap Neraca Pengelolaan Sampah'!D2</f>
        <v>2024</v>
      </c>
    </row>
    <row r="3" spans="1:43" ht="15.75" thickBot="1" x14ac:dyDescent="0.3">
      <c r="A3" s="160" t="s">
        <v>2</v>
      </c>
      <c r="B3" s="82" t="s">
        <v>62</v>
      </c>
      <c r="C3" s="160" t="s">
        <v>36</v>
      </c>
      <c r="D3" s="90"/>
      <c r="E3" s="90"/>
      <c r="F3" s="82"/>
      <c r="G3" s="160" t="s">
        <v>36</v>
      </c>
      <c r="H3" s="90"/>
      <c r="I3" s="90"/>
      <c r="J3" s="90"/>
      <c r="K3" s="160" t="s">
        <v>36</v>
      </c>
      <c r="L3" s="90"/>
      <c r="M3" s="90"/>
      <c r="N3" s="90"/>
      <c r="O3" s="160" t="s">
        <v>36</v>
      </c>
      <c r="P3" s="90"/>
      <c r="Q3" s="90"/>
      <c r="R3" s="90"/>
      <c r="S3" s="160" t="s">
        <v>36</v>
      </c>
      <c r="T3" s="90"/>
      <c r="U3" s="90"/>
      <c r="V3" s="90"/>
      <c r="W3" s="160" t="s">
        <v>36</v>
      </c>
      <c r="X3" s="90"/>
      <c r="Y3" s="90"/>
      <c r="Z3" s="90"/>
      <c r="AA3" s="297" t="s">
        <v>125</v>
      </c>
      <c r="AB3" s="300" t="s">
        <v>57</v>
      </c>
      <c r="AD3" s="161" t="s">
        <v>54</v>
      </c>
      <c r="AE3" s="162"/>
      <c r="AF3" s="162"/>
      <c r="AG3" s="162"/>
      <c r="AH3" s="163"/>
      <c r="AI3" s="91"/>
      <c r="AJ3" s="164" t="s">
        <v>56</v>
      </c>
      <c r="AK3" s="165"/>
      <c r="AL3" s="165"/>
      <c r="AM3" s="165"/>
      <c r="AN3" s="165"/>
      <c r="AO3" s="165"/>
      <c r="AP3" s="165"/>
      <c r="AQ3" s="165"/>
    </row>
    <row r="4" spans="1:43" x14ac:dyDescent="0.25">
      <c r="A4" s="310" t="s">
        <v>0</v>
      </c>
      <c r="B4" s="313" t="s">
        <v>87</v>
      </c>
      <c r="C4" s="98" t="s">
        <v>37</v>
      </c>
      <c r="D4" s="98"/>
      <c r="E4" s="98"/>
      <c r="F4" s="83"/>
      <c r="G4" s="166" t="s">
        <v>37</v>
      </c>
      <c r="H4" s="98"/>
      <c r="I4" s="98"/>
      <c r="J4" s="91"/>
      <c r="K4" s="166" t="s">
        <v>37</v>
      </c>
      <c r="L4" s="98"/>
      <c r="M4" s="98"/>
      <c r="N4" s="91"/>
      <c r="O4" s="166" t="s">
        <v>37</v>
      </c>
      <c r="P4" s="98"/>
      <c r="Q4" s="98"/>
      <c r="R4" s="91"/>
      <c r="S4" s="166" t="s">
        <v>37</v>
      </c>
      <c r="T4" s="98"/>
      <c r="U4" s="98"/>
      <c r="V4" s="91"/>
      <c r="W4" s="166" t="s">
        <v>37</v>
      </c>
      <c r="X4" s="98"/>
      <c r="Y4" s="98"/>
      <c r="Z4" s="91"/>
      <c r="AA4" s="298"/>
      <c r="AB4" s="301"/>
      <c r="AD4" s="167" t="s">
        <v>55</v>
      </c>
      <c r="AE4" s="168"/>
      <c r="AF4" s="168"/>
      <c r="AG4" s="169"/>
      <c r="AH4" s="170"/>
      <c r="AI4" s="98"/>
      <c r="AJ4" s="171" t="s">
        <v>126</v>
      </c>
      <c r="AK4" s="172"/>
      <c r="AL4" s="172"/>
      <c r="AM4" s="173"/>
      <c r="AN4" s="173"/>
      <c r="AO4" s="173"/>
      <c r="AP4" s="173"/>
      <c r="AQ4" s="173"/>
    </row>
    <row r="5" spans="1:43" ht="15.75" thickBot="1" x14ac:dyDescent="0.3">
      <c r="A5" s="311"/>
      <c r="B5" s="314"/>
      <c r="C5" s="91" t="s">
        <v>3</v>
      </c>
      <c r="D5" s="91"/>
      <c r="E5" s="91"/>
      <c r="F5" s="83"/>
      <c r="G5" s="174" t="s">
        <v>3</v>
      </c>
      <c r="H5" s="91"/>
      <c r="I5" s="91"/>
      <c r="J5" s="91"/>
      <c r="K5" s="174" t="s">
        <v>3</v>
      </c>
      <c r="L5" s="91"/>
      <c r="M5" s="91"/>
      <c r="N5" s="91"/>
      <c r="O5" s="174" t="s">
        <v>3</v>
      </c>
      <c r="P5" s="91"/>
      <c r="Q5" s="91"/>
      <c r="R5" s="91"/>
      <c r="S5" s="174" t="s">
        <v>3</v>
      </c>
      <c r="T5" s="91"/>
      <c r="U5" s="91"/>
      <c r="V5" s="91"/>
      <c r="W5" s="174" t="s">
        <v>3</v>
      </c>
      <c r="X5" s="91"/>
      <c r="Y5" s="91"/>
      <c r="Z5" s="91"/>
      <c r="AA5" s="298"/>
      <c r="AB5" s="301"/>
      <c r="AD5" s="175" t="s">
        <v>37</v>
      </c>
      <c r="AE5" s="169"/>
      <c r="AF5" s="169"/>
      <c r="AG5" s="168"/>
      <c r="AH5" s="176"/>
      <c r="AI5" s="91"/>
      <c r="AJ5" s="177" t="s">
        <v>91</v>
      </c>
      <c r="AK5" s="178" t="str">
        <f>B3</f>
        <v>Juli</v>
      </c>
      <c r="AL5" s="178" t="s">
        <v>63</v>
      </c>
      <c r="AM5" s="178" t="e">
        <f>#REF!</f>
        <v>#REF!</v>
      </c>
      <c r="AN5" s="179"/>
      <c r="AO5" s="179"/>
      <c r="AP5" s="179"/>
      <c r="AQ5" s="179"/>
    </row>
    <row r="6" spans="1:43" ht="30.75" customHeight="1" thickBot="1" x14ac:dyDescent="0.3">
      <c r="A6" s="311"/>
      <c r="B6" s="314"/>
      <c r="C6" s="303" t="s">
        <v>109</v>
      </c>
      <c r="D6" s="303"/>
      <c r="E6" s="303"/>
      <c r="F6" s="84"/>
      <c r="G6" s="304" t="s">
        <v>123</v>
      </c>
      <c r="H6" s="305"/>
      <c r="I6" s="305"/>
      <c r="J6" s="92"/>
      <c r="K6" s="306" t="s">
        <v>111</v>
      </c>
      <c r="L6" s="307"/>
      <c r="M6" s="307"/>
      <c r="N6" s="93"/>
      <c r="O6" s="306" t="s">
        <v>115</v>
      </c>
      <c r="P6" s="307"/>
      <c r="Q6" s="307"/>
      <c r="R6" s="93"/>
      <c r="S6" s="304" t="s">
        <v>124</v>
      </c>
      <c r="T6" s="305"/>
      <c r="U6" s="305"/>
      <c r="V6" s="92"/>
      <c r="W6" s="304" t="s">
        <v>84</v>
      </c>
      <c r="X6" s="305"/>
      <c r="Y6" s="305"/>
      <c r="Z6" s="93"/>
      <c r="AA6" s="298"/>
      <c r="AB6" s="301"/>
      <c r="AD6" s="180" t="s">
        <v>91</v>
      </c>
      <c r="AE6" s="181" t="str">
        <f>B3</f>
        <v>Juli</v>
      </c>
      <c r="AF6" s="181" t="s">
        <v>63</v>
      </c>
      <c r="AG6" s="169" t="e">
        <f>#REF!</f>
        <v>#REF!</v>
      </c>
      <c r="AH6" s="170"/>
      <c r="AI6" s="98"/>
      <c r="AJ6" s="296" t="s">
        <v>93</v>
      </c>
      <c r="AK6" s="296"/>
      <c r="AL6" s="296"/>
      <c r="AM6" s="296"/>
      <c r="AN6" s="296"/>
      <c r="AO6" s="296"/>
      <c r="AP6" s="296"/>
      <c r="AQ6" s="296"/>
    </row>
    <row r="7" spans="1:43" s="191" customFormat="1" ht="120.75" customHeight="1" thickBot="1" x14ac:dyDescent="0.3">
      <c r="A7" s="312"/>
      <c r="B7" s="315"/>
      <c r="C7" s="184" t="s">
        <v>85</v>
      </c>
      <c r="D7" s="182" t="s">
        <v>108</v>
      </c>
      <c r="E7" s="183" t="s">
        <v>145</v>
      </c>
      <c r="F7" s="85" t="s">
        <v>131</v>
      </c>
      <c r="G7" s="184" t="s">
        <v>85</v>
      </c>
      <c r="H7" s="182" t="s">
        <v>108</v>
      </c>
      <c r="I7" s="183" t="s">
        <v>145</v>
      </c>
      <c r="J7" s="85" t="s">
        <v>131</v>
      </c>
      <c r="K7" s="184" t="s">
        <v>85</v>
      </c>
      <c r="L7" s="182" t="s">
        <v>108</v>
      </c>
      <c r="M7" s="183" t="s">
        <v>145</v>
      </c>
      <c r="N7" s="85" t="s">
        <v>131</v>
      </c>
      <c r="O7" s="184" t="s">
        <v>85</v>
      </c>
      <c r="P7" s="182" t="s">
        <v>108</v>
      </c>
      <c r="Q7" s="183" t="s">
        <v>145</v>
      </c>
      <c r="R7" s="85" t="s">
        <v>131</v>
      </c>
      <c r="S7" s="184" t="s">
        <v>85</v>
      </c>
      <c r="T7" s="182" t="s">
        <v>108</v>
      </c>
      <c r="U7" s="183" t="s">
        <v>145</v>
      </c>
      <c r="V7" s="85" t="s">
        <v>131</v>
      </c>
      <c r="W7" s="184" t="s">
        <v>85</v>
      </c>
      <c r="X7" s="182" t="s">
        <v>108</v>
      </c>
      <c r="Y7" s="183" t="s">
        <v>145</v>
      </c>
      <c r="Z7" s="85" t="s">
        <v>131</v>
      </c>
      <c r="AA7" s="299"/>
      <c r="AB7" s="302"/>
      <c r="AC7" s="185"/>
      <c r="AD7" s="186" t="s">
        <v>90</v>
      </c>
      <c r="AE7" s="187" t="s">
        <v>87</v>
      </c>
      <c r="AF7" s="188" t="s">
        <v>92</v>
      </c>
      <c r="AG7" s="188" t="s">
        <v>110</v>
      </c>
      <c r="AH7" s="188" t="s">
        <v>101</v>
      </c>
      <c r="AI7" s="185"/>
      <c r="AJ7" s="189" t="s">
        <v>90</v>
      </c>
      <c r="AK7" s="189" t="s">
        <v>87</v>
      </c>
      <c r="AL7" s="190" t="s">
        <v>40</v>
      </c>
      <c r="AM7" s="190" t="s">
        <v>60</v>
      </c>
      <c r="AN7" s="190" t="s">
        <v>38</v>
      </c>
      <c r="AO7" s="190" t="s">
        <v>39</v>
      </c>
      <c r="AP7" s="190" t="s">
        <v>103</v>
      </c>
      <c r="AQ7" s="190" t="s">
        <v>102</v>
      </c>
    </row>
    <row r="8" spans="1:43" x14ac:dyDescent="0.25">
      <c r="A8" s="154">
        <v>1</v>
      </c>
      <c r="B8" s="155" t="s">
        <v>4</v>
      </c>
      <c r="C8" s="266">
        <v>222.8</v>
      </c>
      <c r="D8" s="266">
        <f>(((((2.2+2)*1.3)*1.3)*2)*2)*2</f>
        <v>56.784000000000013</v>
      </c>
      <c r="E8" s="258">
        <v>120</v>
      </c>
      <c r="F8" s="86">
        <f t="shared" ref="F8:F38" si="0">SUM(C8:E8)</f>
        <v>399.584</v>
      </c>
      <c r="G8" s="266">
        <v>817.2</v>
      </c>
      <c r="H8" s="266">
        <f>(((((3.7+3)*1.3)*1.3)*2)*2)*2</f>
        <v>90.584000000000017</v>
      </c>
      <c r="I8" s="258">
        <v>250</v>
      </c>
      <c r="J8" s="86">
        <f t="shared" ref="J8:J38" si="1">SUM(G8:I8)</f>
        <v>1157.7840000000001</v>
      </c>
      <c r="K8" s="266">
        <v>18</v>
      </c>
      <c r="L8" s="266">
        <v>16.224</v>
      </c>
      <c r="M8" s="258"/>
      <c r="N8" s="86">
        <f t="shared" ref="N8:N38" si="2">SUM(K8:M8)</f>
        <v>34.224000000000004</v>
      </c>
      <c r="O8" s="266">
        <v>816.4</v>
      </c>
      <c r="P8" s="266">
        <f>(((((4.6+1)*1.3)*1.3)*2)*2)*2</f>
        <v>75.711999999999989</v>
      </c>
      <c r="Q8" s="258">
        <v>400</v>
      </c>
      <c r="R8" s="86">
        <f t="shared" ref="R8:R38" si="3">SUM(O8:Q8)</f>
        <v>1292.1120000000001</v>
      </c>
      <c r="S8" s="266">
        <v>160</v>
      </c>
      <c r="T8" s="266">
        <f>(((((2+3)*1.3)*1.3)*2)*2)*2</f>
        <v>67.600000000000009</v>
      </c>
      <c r="U8" s="258">
        <v>100</v>
      </c>
      <c r="V8" s="86">
        <f t="shared" ref="V8:V38" si="4">SUM(S8:U8)</f>
        <v>327.60000000000002</v>
      </c>
      <c r="W8" s="266">
        <v>0</v>
      </c>
      <c r="X8" s="266">
        <f>(((((23+1)*1.3)*1.3)*2)*2)*2</f>
        <v>324.48</v>
      </c>
      <c r="Y8" s="258">
        <v>47</v>
      </c>
      <c r="Z8" s="86">
        <f t="shared" ref="Z8:Z38" si="5">SUM(W8:Y8)</f>
        <v>371.48</v>
      </c>
      <c r="AA8" s="94">
        <f>(F8+J8+N8+R8+V8+Z8)</f>
        <v>3582.7840000000001</v>
      </c>
      <c r="AB8" s="95" t="s">
        <v>53</v>
      </c>
      <c r="AC8" s="138"/>
      <c r="AD8" s="139">
        <v>1</v>
      </c>
      <c r="AE8" s="140" t="s">
        <v>4</v>
      </c>
      <c r="AF8" s="141">
        <f t="shared" ref="AF8:AF16" si="6">(C8+G8+K8+O8+S8+W8)</f>
        <v>2034.4</v>
      </c>
      <c r="AG8" s="141">
        <f t="shared" ref="AG8:AG16" si="7">(D8+H8+L8+P8+T8+X8)</f>
        <v>631.38400000000001</v>
      </c>
      <c r="AH8" s="141">
        <f t="shared" ref="AH8:AH16" si="8">(E8+I8+M8+Q8++U8+Y8)</f>
        <v>917</v>
      </c>
      <c r="AI8" s="108"/>
      <c r="AJ8" s="142">
        <v>1</v>
      </c>
      <c r="AK8" s="143" t="s">
        <v>4</v>
      </c>
      <c r="AL8" s="144">
        <f t="shared" ref="AL8:AL38" si="9">AF8</f>
        <v>2034.4</v>
      </c>
      <c r="AM8" s="145">
        <f t="shared" ref="AM8:AM38" si="10">AL8/AA8</f>
        <v>0.56782658401957808</v>
      </c>
      <c r="AN8" s="144">
        <f>AG8</f>
        <v>631.38400000000001</v>
      </c>
      <c r="AO8" s="145">
        <f t="shared" ref="AO8:AO38" si="11">AN8/AA8</f>
        <v>0.17622720208642217</v>
      </c>
      <c r="AP8" s="144">
        <f>AH8</f>
        <v>917</v>
      </c>
      <c r="AQ8" s="145">
        <f t="shared" ref="AQ8:AQ38" si="12">AP8/AA8</f>
        <v>0.25594621389399974</v>
      </c>
    </row>
    <row r="9" spans="1:43" x14ac:dyDescent="0.25">
      <c r="A9" s="156">
        <v>2</v>
      </c>
      <c r="B9" s="157" t="s">
        <v>5</v>
      </c>
      <c r="C9" s="266">
        <v>218</v>
      </c>
      <c r="D9" s="266">
        <v>29.744000000000003</v>
      </c>
      <c r="E9" s="260">
        <v>50</v>
      </c>
      <c r="F9" s="87">
        <f t="shared" si="0"/>
        <v>297.74400000000003</v>
      </c>
      <c r="G9" s="266">
        <v>1014.4</v>
      </c>
      <c r="H9" s="266">
        <v>48.672000000000011</v>
      </c>
      <c r="I9" s="260">
        <v>250</v>
      </c>
      <c r="J9" s="87">
        <f t="shared" si="1"/>
        <v>1313.0719999999999</v>
      </c>
      <c r="K9" s="266">
        <v>14</v>
      </c>
      <c r="L9" s="266">
        <v>10.816000000000001</v>
      </c>
      <c r="M9" s="260"/>
      <c r="N9" s="87">
        <f t="shared" si="2"/>
        <v>24.816000000000003</v>
      </c>
      <c r="O9" s="266">
        <v>2021.6</v>
      </c>
      <c r="P9" s="266">
        <v>89.231999999999999</v>
      </c>
      <c r="Q9" s="260">
        <v>610</v>
      </c>
      <c r="R9" s="87">
        <f t="shared" si="3"/>
        <v>2720.8319999999999</v>
      </c>
      <c r="S9" s="266">
        <v>120</v>
      </c>
      <c r="T9" s="266">
        <f>(((((2+1)*1.3)*1.3)*2)*2)*2</f>
        <v>40.56</v>
      </c>
      <c r="U9" s="260">
        <v>100</v>
      </c>
      <c r="V9" s="87">
        <f t="shared" si="4"/>
        <v>260.56</v>
      </c>
      <c r="W9" s="266">
        <v>200</v>
      </c>
      <c r="X9" s="266">
        <v>310.96000000000004</v>
      </c>
      <c r="Y9" s="260">
        <v>156</v>
      </c>
      <c r="Z9" s="87">
        <f t="shared" si="5"/>
        <v>666.96</v>
      </c>
      <c r="AA9" s="94">
        <f t="shared" ref="AA9:AA38" si="13">(F9+J9+N9+R9+V9+Z9)</f>
        <v>5283.9840000000004</v>
      </c>
      <c r="AB9" s="96" t="s">
        <v>53</v>
      </c>
      <c r="AC9" s="138"/>
      <c r="AD9" s="146">
        <v>2</v>
      </c>
      <c r="AE9" s="147" t="s">
        <v>5</v>
      </c>
      <c r="AF9" s="141">
        <f t="shared" si="6"/>
        <v>3588</v>
      </c>
      <c r="AG9" s="141">
        <f t="shared" si="7"/>
        <v>529.98400000000004</v>
      </c>
      <c r="AH9" s="141">
        <f t="shared" si="8"/>
        <v>1166</v>
      </c>
      <c r="AI9" s="108"/>
      <c r="AJ9" s="148">
        <v>2</v>
      </c>
      <c r="AK9" s="149" t="s">
        <v>5</v>
      </c>
      <c r="AL9" s="144">
        <f t="shared" si="9"/>
        <v>3588</v>
      </c>
      <c r="AM9" s="145">
        <f t="shared" si="10"/>
        <v>0.67903309321148586</v>
      </c>
      <c r="AN9" s="144">
        <f t="shared" ref="AN9:AN38" si="14">AG9</f>
        <v>529.98400000000004</v>
      </c>
      <c r="AO9" s="145">
        <f t="shared" si="11"/>
        <v>0.1003000766088618</v>
      </c>
      <c r="AP9" s="144">
        <f t="shared" ref="AP9:AP38" si="15">AH9</f>
        <v>1166</v>
      </c>
      <c r="AQ9" s="145">
        <f t="shared" si="12"/>
        <v>0.2206668301796523</v>
      </c>
    </row>
    <row r="10" spans="1:43" x14ac:dyDescent="0.25">
      <c r="A10" s="156">
        <v>3</v>
      </c>
      <c r="B10" s="157" t="s">
        <v>6</v>
      </c>
      <c r="C10" s="266">
        <v>224.4</v>
      </c>
      <c r="D10" s="266">
        <f>(((((3.1+2)*1.3)*1.3)*2)*2)*2</f>
        <v>68.951999999999998</v>
      </c>
      <c r="E10" s="260">
        <v>135</v>
      </c>
      <c r="F10" s="87">
        <f t="shared" si="0"/>
        <v>428.35199999999998</v>
      </c>
      <c r="G10" s="266">
        <v>1015.6</v>
      </c>
      <c r="H10" s="266">
        <f>(((((4.3+2)*1.3)*1.3)*2)*2)*2</f>
        <v>85.176000000000002</v>
      </c>
      <c r="I10" s="260">
        <v>300</v>
      </c>
      <c r="J10" s="87">
        <f t="shared" si="1"/>
        <v>1400.7760000000001</v>
      </c>
      <c r="K10" s="266">
        <v>11.6</v>
      </c>
      <c r="L10" s="266">
        <v>14.872000000000002</v>
      </c>
      <c r="M10" s="260"/>
      <c r="N10" s="87">
        <f t="shared" si="2"/>
        <v>26.472000000000001</v>
      </c>
      <c r="O10" s="266">
        <v>2012.8</v>
      </c>
      <c r="P10" s="266">
        <f>(((((1.8+1)*1.3)*1.3)*2)*2)*2</f>
        <v>37.855999999999995</v>
      </c>
      <c r="Q10" s="260">
        <v>500</v>
      </c>
      <c r="R10" s="87">
        <f t="shared" si="3"/>
        <v>2550.6559999999999</v>
      </c>
      <c r="S10" s="266">
        <v>80</v>
      </c>
      <c r="T10" s="266">
        <f>(((((2+3)*1.3)*1.3)*2)*2)*2</f>
        <v>67.600000000000009</v>
      </c>
      <c r="U10" s="260">
        <v>85</v>
      </c>
      <c r="V10" s="87">
        <f t="shared" si="4"/>
        <v>232.60000000000002</v>
      </c>
      <c r="W10" s="266">
        <v>60</v>
      </c>
      <c r="X10" s="266">
        <v>297.44</v>
      </c>
      <c r="Y10" s="260">
        <v>115</v>
      </c>
      <c r="Z10" s="87">
        <f t="shared" si="5"/>
        <v>472.44</v>
      </c>
      <c r="AA10" s="94">
        <f t="shared" si="13"/>
        <v>5111.2960000000003</v>
      </c>
      <c r="AB10" s="96" t="s">
        <v>53</v>
      </c>
      <c r="AC10" s="138"/>
      <c r="AD10" s="146">
        <v>3</v>
      </c>
      <c r="AE10" s="147" t="s">
        <v>6</v>
      </c>
      <c r="AF10" s="141">
        <f t="shared" si="6"/>
        <v>3404.3999999999996</v>
      </c>
      <c r="AG10" s="141">
        <f t="shared" si="7"/>
        <v>571.89599999999996</v>
      </c>
      <c r="AH10" s="141">
        <f t="shared" si="8"/>
        <v>1135</v>
      </c>
      <c r="AI10" s="108"/>
      <c r="AJ10" s="148">
        <v>3</v>
      </c>
      <c r="AK10" s="149" t="s">
        <v>6</v>
      </c>
      <c r="AL10" s="144">
        <f t="shared" si="9"/>
        <v>3404.3999999999996</v>
      </c>
      <c r="AM10" s="145">
        <f t="shared" si="10"/>
        <v>0.66605416708404275</v>
      </c>
      <c r="AN10" s="144">
        <f t="shared" si="14"/>
        <v>571.89599999999996</v>
      </c>
      <c r="AO10" s="145">
        <f t="shared" si="11"/>
        <v>0.11188864820194329</v>
      </c>
      <c r="AP10" s="144">
        <f t="shared" si="15"/>
        <v>1135</v>
      </c>
      <c r="AQ10" s="145">
        <f t="shared" si="12"/>
        <v>0.22205718471401381</v>
      </c>
    </row>
    <row r="11" spans="1:43" x14ac:dyDescent="0.25">
      <c r="A11" s="156">
        <v>4</v>
      </c>
      <c r="B11" s="157" t="s">
        <v>7</v>
      </c>
      <c r="C11" s="266">
        <v>218.8</v>
      </c>
      <c r="D11" s="266">
        <v>31.096</v>
      </c>
      <c r="E11" s="260">
        <v>110</v>
      </c>
      <c r="F11" s="87">
        <f t="shared" si="0"/>
        <v>359.89600000000002</v>
      </c>
      <c r="G11" s="266">
        <v>816.8</v>
      </c>
      <c r="H11" s="266">
        <f>(((((3.2+1)*1.3)*1.3)*2)*2)*2</f>
        <v>56.784000000000013</v>
      </c>
      <c r="I11" s="260">
        <v>270</v>
      </c>
      <c r="J11" s="87">
        <f t="shared" si="1"/>
        <v>1143.5839999999998</v>
      </c>
      <c r="K11" s="266">
        <v>212</v>
      </c>
      <c r="L11" s="266">
        <v>9.4639999999999986</v>
      </c>
      <c r="M11" s="260">
        <v>45</v>
      </c>
      <c r="N11" s="87">
        <f t="shared" si="2"/>
        <v>266.464</v>
      </c>
      <c r="O11" s="266">
        <v>1214.4000000000001</v>
      </c>
      <c r="P11" s="266">
        <v>25.687999999999999</v>
      </c>
      <c r="Q11" s="260">
        <v>570</v>
      </c>
      <c r="R11" s="87">
        <f t="shared" si="3"/>
        <v>1810.0880000000002</v>
      </c>
      <c r="S11" s="266">
        <v>80</v>
      </c>
      <c r="T11" s="266">
        <f>(((((2+2)*1.3)*1.3)*2)*2)*2</f>
        <v>54.080000000000005</v>
      </c>
      <c r="U11" s="260">
        <v>60</v>
      </c>
      <c r="V11" s="87">
        <f t="shared" si="4"/>
        <v>194.08</v>
      </c>
      <c r="W11" s="266">
        <v>0</v>
      </c>
      <c r="X11" s="266">
        <v>297.44</v>
      </c>
      <c r="Y11" s="260">
        <v>45</v>
      </c>
      <c r="Z11" s="87">
        <f t="shared" si="5"/>
        <v>342.44</v>
      </c>
      <c r="AA11" s="94">
        <f t="shared" si="13"/>
        <v>4116.5519999999997</v>
      </c>
      <c r="AB11" s="96" t="s">
        <v>53</v>
      </c>
      <c r="AC11" s="138"/>
      <c r="AD11" s="146">
        <v>4</v>
      </c>
      <c r="AE11" s="147" t="s">
        <v>7</v>
      </c>
      <c r="AF11" s="141">
        <f t="shared" si="6"/>
        <v>2542</v>
      </c>
      <c r="AG11" s="141">
        <f t="shared" si="7"/>
        <v>474.55200000000002</v>
      </c>
      <c r="AH11" s="141">
        <f t="shared" si="8"/>
        <v>1100</v>
      </c>
      <c r="AI11" s="108"/>
      <c r="AJ11" s="148">
        <v>4</v>
      </c>
      <c r="AK11" s="149" t="s">
        <v>7</v>
      </c>
      <c r="AL11" s="144">
        <f t="shared" si="9"/>
        <v>2542</v>
      </c>
      <c r="AM11" s="145">
        <f t="shared" si="10"/>
        <v>0.61750707873968314</v>
      </c>
      <c r="AN11" s="144">
        <f t="shared" si="14"/>
        <v>474.55200000000002</v>
      </c>
      <c r="AO11" s="145">
        <f t="shared" si="11"/>
        <v>0.11527900048390013</v>
      </c>
      <c r="AP11" s="144">
        <f t="shared" si="15"/>
        <v>1100</v>
      </c>
      <c r="AQ11" s="145">
        <f t="shared" si="12"/>
        <v>0.26721392077641681</v>
      </c>
    </row>
    <row r="12" spans="1:43" x14ac:dyDescent="0.25">
      <c r="A12" s="156">
        <v>5</v>
      </c>
      <c r="B12" s="157" t="s">
        <v>8</v>
      </c>
      <c r="C12" s="266">
        <v>216.4</v>
      </c>
      <c r="D12" s="266">
        <f>(((((2+1)*1.3)*1.3)*2)*2)*2</f>
        <v>40.56</v>
      </c>
      <c r="E12" s="260">
        <v>15</v>
      </c>
      <c r="F12" s="87">
        <f t="shared" si="0"/>
        <v>271.96000000000004</v>
      </c>
      <c r="G12" s="266">
        <v>420.4</v>
      </c>
      <c r="H12" s="266">
        <v>35.152000000000008</v>
      </c>
      <c r="I12" s="260">
        <v>100</v>
      </c>
      <c r="J12" s="87">
        <f t="shared" si="1"/>
        <v>555.55199999999991</v>
      </c>
      <c r="K12" s="266">
        <v>14.4</v>
      </c>
      <c r="L12" s="266">
        <v>32.448</v>
      </c>
      <c r="M12" s="260"/>
      <c r="N12" s="87">
        <f t="shared" si="2"/>
        <v>46.847999999999999</v>
      </c>
      <c r="O12" s="266">
        <v>417.2</v>
      </c>
      <c r="P12" s="266">
        <v>27.040000000000003</v>
      </c>
      <c r="Q12" s="260">
        <v>300</v>
      </c>
      <c r="R12" s="87">
        <f t="shared" si="3"/>
        <v>744.24</v>
      </c>
      <c r="S12" s="266">
        <v>60</v>
      </c>
      <c r="T12" s="266">
        <f>(((((2+2)*1.3)*1.3)*2)*2)*2</f>
        <v>54.080000000000005</v>
      </c>
      <c r="U12" s="260">
        <v>60</v>
      </c>
      <c r="V12" s="87">
        <f t="shared" si="4"/>
        <v>174.08</v>
      </c>
      <c r="W12" s="266">
        <v>0</v>
      </c>
      <c r="X12" s="266">
        <f>(((((22+1)*1.3)*1.3)*2)*2)*2</f>
        <v>310.96000000000004</v>
      </c>
      <c r="Y12" s="260">
        <v>40</v>
      </c>
      <c r="Z12" s="87">
        <f t="shared" si="5"/>
        <v>350.96000000000004</v>
      </c>
      <c r="AA12" s="94">
        <f t="shared" si="13"/>
        <v>2143.64</v>
      </c>
      <c r="AB12" s="96" t="s">
        <v>53</v>
      </c>
      <c r="AC12" s="138"/>
      <c r="AD12" s="146">
        <v>5</v>
      </c>
      <c r="AE12" s="147" t="s">
        <v>8</v>
      </c>
      <c r="AF12" s="141">
        <f t="shared" si="6"/>
        <v>1128.3999999999999</v>
      </c>
      <c r="AG12" s="141">
        <f t="shared" si="7"/>
        <v>500.24000000000007</v>
      </c>
      <c r="AH12" s="141">
        <f t="shared" si="8"/>
        <v>515</v>
      </c>
      <c r="AI12" s="108"/>
      <c r="AJ12" s="148">
        <v>5</v>
      </c>
      <c r="AK12" s="149" t="s">
        <v>8</v>
      </c>
      <c r="AL12" s="144">
        <f t="shared" si="9"/>
        <v>1128.3999999999999</v>
      </c>
      <c r="AM12" s="145">
        <f t="shared" si="10"/>
        <v>0.52639435726148043</v>
      </c>
      <c r="AN12" s="144">
        <f t="shared" si="14"/>
        <v>500.24000000000007</v>
      </c>
      <c r="AO12" s="145">
        <f t="shared" si="11"/>
        <v>0.23336007911776235</v>
      </c>
      <c r="AP12" s="144">
        <f t="shared" si="15"/>
        <v>515</v>
      </c>
      <c r="AQ12" s="145">
        <f t="shared" si="12"/>
        <v>0.24024556362075722</v>
      </c>
    </row>
    <row r="13" spans="1:43" x14ac:dyDescent="0.25">
      <c r="A13" s="156">
        <v>6</v>
      </c>
      <c r="B13" s="157" t="s">
        <v>9</v>
      </c>
      <c r="C13" s="266">
        <v>200</v>
      </c>
      <c r="D13" s="266">
        <v>0</v>
      </c>
      <c r="E13" s="260">
        <v>20</v>
      </c>
      <c r="F13" s="87">
        <f t="shared" si="0"/>
        <v>220</v>
      </c>
      <c r="G13" s="266">
        <v>720</v>
      </c>
      <c r="H13" s="266">
        <v>0</v>
      </c>
      <c r="I13" s="260">
        <v>200</v>
      </c>
      <c r="J13" s="87">
        <f t="shared" si="1"/>
        <v>920</v>
      </c>
      <c r="K13" s="266">
        <v>0</v>
      </c>
      <c r="L13" s="266">
        <v>0</v>
      </c>
      <c r="M13" s="260"/>
      <c r="N13" s="87">
        <f t="shared" si="2"/>
        <v>0</v>
      </c>
      <c r="O13" s="266">
        <v>800</v>
      </c>
      <c r="P13" s="266">
        <v>0</v>
      </c>
      <c r="Q13" s="260">
        <v>370</v>
      </c>
      <c r="R13" s="87">
        <f t="shared" si="3"/>
        <v>1170</v>
      </c>
      <c r="S13" s="266">
        <v>100</v>
      </c>
      <c r="T13" s="266">
        <f>(((((1+2)*1.3)*1.3)*2)*2)*2</f>
        <v>40.56</v>
      </c>
      <c r="U13" s="260">
        <v>65</v>
      </c>
      <c r="V13" s="87">
        <f t="shared" si="4"/>
        <v>205.56</v>
      </c>
      <c r="W13" s="266">
        <v>0</v>
      </c>
      <c r="X13" s="266">
        <v>283.92</v>
      </c>
      <c r="Y13" s="260">
        <v>20</v>
      </c>
      <c r="Z13" s="87">
        <f t="shared" si="5"/>
        <v>303.92</v>
      </c>
      <c r="AA13" s="94">
        <f t="shared" si="13"/>
        <v>2819.48</v>
      </c>
      <c r="AB13" s="96" t="s">
        <v>53</v>
      </c>
      <c r="AC13" s="138"/>
      <c r="AD13" s="146">
        <v>6</v>
      </c>
      <c r="AE13" s="147" t="s">
        <v>9</v>
      </c>
      <c r="AF13" s="141">
        <f t="shared" si="6"/>
        <v>1820</v>
      </c>
      <c r="AG13" s="141">
        <f t="shared" si="7"/>
        <v>324.48</v>
      </c>
      <c r="AH13" s="141">
        <f t="shared" si="8"/>
        <v>675</v>
      </c>
      <c r="AI13" s="108"/>
      <c r="AJ13" s="148">
        <v>6</v>
      </c>
      <c r="AK13" s="149" t="s">
        <v>9</v>
      </c>
      <c r="AL13" s="144">
        <f t="shared" si="9"/>
        <v>1820</v>
      </c>
      <c r="AM13" s="145">
        <f t="shared" si="10"/>
        <v>0.64550910096897296</v>
      </c>
      <c r="AN13" s="144">
        <f t="shared" si="14"/>
        <v>324.48</v>
      </c>
      <c r="AO13" s="145">
        <f t="shared" si="11"/>
        <v>0.11508505114418262</v>
      </c>
      <c r="AP13" s="144">
        <f t="shared" si="15"/>
        <v>675</v>
      </c>
      <c r="AQ13" s="145">
        <f t="shared" si="12"/>
        <v>0.23940584788684438</v>
      </c>
    </row>
    <row r="14" spans="1:43" x14ac:dyDescent="0.25">
      <c r="A14" s="156">
        <v>7</v>
      </c>
      <c r="B14" s="157" t="s">
        <v>10</v>
      </c>
      <c r="C14" s="266">
        <v>0</v>
      </c>
      <c r="D14" s="266">
        <v>0</v>
      </c>
      <c r="E14" s="260">
        <f>[1]Juli!O12+[2]Juli!O12+[3]Juli!O12</f>
        <v>0</v>
      </c>
      <c r="F14" s="87">
        <f t="shared" si="0"/>
        <v>0</v>
      </c>
      <c r="G14" s="266">
        <v>0</v>
      </c>
      <c r="H14" s="266">
        <v>0</v>
      </c>
      <c r="I14" s="260">
        <f>[2]Juli!V12+[1]Juli!V12+[3]Juli!V12</f>
        <v>0</v>
      </c>
      <c r="J14" s="87">
        <f t="shared" si="1"/>
        <v>0</v>
      </c>
      <c r="K14" s="266">
        <v>0</v>
      </c>
      <c r="L14" s="266">
        <v>0</v>
      </c>
      <c r="M14" s="260"/>
      <c r="N14" s="87">
        <f t="shared" si="2"/>
        <v>0</v>
      </c>
      <c r="O14" s="266">
        <v>0</v>
      </c>
      <c r="P14" s="266">
        <v>0</v>
      </c>
      <c r="Q14" s="260">
        <v>0</v>
      </c>
      <c r="R14" s="87">
        <f t="shared" si="3"/>
        <v>0</v>
      </c>
      <c r="S14" s="266">
        <v>0</v>
      </c>
      <c r="T14" s="266">
        <v>0</v>
      </c>
      <c r="U14" s="260"/>
      <c r="V14" s="87">
        <f t="shared" si="4"/>
        <v>0</v>
      </c>
      <c r="W14" s="266">
        <v>0</v>
      </c>
      <c r="X14" s="266">
        <v>0</v>
      </c>
      <c r="Y14" s="260">
        <v>0</v>
      </c>
      <c r="Z14" s="87">
        <f t="shared" si="5"/>
        <v>0</v>
      </c>
      <c r="AA14" s="94">
        <f t="shared" si="13"/>
        <v>0</v>
      </c>
      <c r="AB14" s="96" t="s">
        <v>53</v>
      </c>
      <c r="AC14" s="138"/>
      <c r="AD14" s="146">
        <v>7</v>
      </c>
      <c r="AE14" s="147" t="s">
        <v>10</v>
      </c>
      <c r="AF14" s="141">
        <f t="shared" si="6"/>
        <v>0</v>
      </c>
      <c r="AG14" s="141">
        <f t="shared" si="7"/>
        <v>0</v>
      </c>
      <c r="AH14" s="141">
        <f t="shared" si="8"/>
        <v>0</v>
      </c>
      <c r="AI14" s="108"/>
      <c r="AJ14" s="148">
        <v>7</v>
      </c>
      <c r="AK14" s="149" t="s">
        <v>10</v>
      </c>
      <c r="AL14" s="144">
        <f t="shared" si="9"/>
        <v>0</v>
      </c>
      <c r="AM14" s="145" t="e">
        <f t="shared" si="10"/>
        <v>#DIV/0!</v>
      </c>
      <c r="AN14" s="144">
        <f t="shared" si="14"/>
        <v>0</v>
      </c>
      <c r="AO14" s="145" t="e">
        <f t="shared" si="11"/>
        <v>#DIV/0!</v>
      </c>
      <c r="AP14" s="144">
        <f t="shared" si="15"/>
        <v>0</v>
      </c>
      <c r="AQ14" s="145" t="e">
        <f t="shared" si="12"/>
        <v>#DIV/0!</v>
      </c>
    </row>
    <row r="15" spans="1:43" x14ac:dyDescent="0.25">
      <c r="A15" s="156">
        <v>8</v>
      </c>
      <c r="B15" s="157" t="s">
        <v>11</v>
      </c>
      <c r="C15" s="266">
        <v>215.6</v>
      </c>
      <c r="D15" s="266">
        <f>(((((2.1+1)*1.3)*1.3)*2)*2)*2</f>
        <v>41.912000000000006</v>
      </c>
      <c r="E15" s="260">
        <v>140</v>
      </c>
      <c r="F15" s="87">
        <f t="shared" si="0"/>
        <v>397.512</v>
      </c>
      <c r="G15" s="266">
        <v>1614</v>
      </c>
      <c r="H15" s="266">
        <f>(((((3.2+2)*1.3)*1.3)*2)*2)*2</f>
        <v>70.304000000000016</v>
      </c>
      <c r="I15" s="260">
        <v>560</v>
      </c>
      <c r="J15" s="87">
        <f t="shared" si="1"/>
        <v>2244.3040000000001</v>
      </c>
      <c r="K15" s="266">
        <v>91.2</v>
      </c>
      <c r="L15" s="266">
        <v>16.224</v>
      </c>
      <c r="M15" s="260">
        <v>50</v>
      </c>
      <c r="N15" s="87">
        <f t="shared" si="2"/>
        <v>157.42400000000001</v>
      </c>
      <c r="O15" s="266">
        <v>1618.8</v>
      </c>
      <c r="P15" s="266">
        <f>(((((4.4+1)*1.3)*1.3)*2)*2)*2</f>
        <v>73.00800000000001</v>
      </c>
      <c r="Q15" s="260">
        <v>1200</v>
      </c>
      <c r="R15" s="87">
        <f t="shared" si="3"/>
        <v>2891.808</v>
      </c>
      <c r="S15" s="266">
        <v>80</v>
      </c>
      <c r="T15" s="266">
        <f>(((((2+2)*1.3)*1.3)*2)*2)*2</f>
        <v>54.080000000000005</v>
      </c>
      <c r="U15" s="260">
        <v>70</v>
      </c>
      <c r="V15" s="87">
        <f t="shared" si="4"/>
        <v>204.08</v>
      </c>
      <c r="W15" s="266">
        <v>120</v>
      </c>
      <c r="X15" s="266">
        <v>297.44</v>
      </c>
      <c r="Y15" s="260">
        <v>200</v>
      </c>
      <c r="Z15" s="87">
        <f t="shared" si="5"/>
        <v>617.44000000000005</v>
      </c>
      <c r="AA15" s="94">
        <f t="shared" si="13"/>
        <v>6512.5680000000011</v>
      </c>
      <c r="AB15" s="96" t="s">
        <v>53</v>
      </c>
      <c r="AC15" s="138"/>
      <c r="AD15" s="146">
        <v>8</v>
      </c>
      <c r="AE15" s="147" t="s">
        <v>11</v>
      </c>
      <c r="AF15" s="141">
        <f t="shared" si="6"/>
        <v>3739.6</v>
      </c>
      <c r="AG15" s="141">
        <f t="shared" si="7"/>
        <v>552.96800000000007</v>
      </c>
      <c r="AH15" s="141">
        <f t="shared" si="8"/>
        <v>2220</v>
      </c>
      <c r="AI15" s="108"/>
      <c r="AJ15" s="148">
        <v>8</v>
      </c>
      <c r="AK15" s="149" t="s">
        <v>11</v>
      </c>
      <c r="AL15" s="144">
        <f t="shared" si="9"/>
        <v>3739.6</v>
      </c>
      <c r="AM15" s="145">
        <f t="shared" si="10"/>
        <v>0.57421281436140081</v>
      </c>
      <c r="AN15" s="144">
        <f t="shared" si="14"/>
        <v>552.96800000000007</v>
      </c>
      <c r="AO15" s="145">
        <f t="shared" si="11"/>
        <v>8.4907827449939868E-2</v>
      </c>
      <c r="AP15" s="144">
        <f t="shared" si="15"/>
        <v>2220</v>
      </c>
      <c r="AQ15" s="145">
        <f t="shared" si="12"/>
        <v>0.34087935818865917</v>
      </c>
    </row>
    <row r="16" spans="1:43" x14ac:dyDescent="0.25">
      <c r="A16" s="156">
        <v>9</v>
      </c>
      <c r="B16" s="157" t="s">
        <v>12</v>
      </c>
      <c r="C16" s="266">
        <v>216.8</v>
      </c>
      <c r="D16" s="266">
        <v>24.336000000000006</v>
      </c>
      <c r="E16" s="260">
        <v>85</v>
      </c>
      <c r="F16" s="87">
        <f t="shared" si="0"/>
        <v>326.13600000000002</v>
      </c>
      <c r="G16" s="266">
        <v>819.6</v>
      </c>
      <c r="H16" s="266">
        <v>63.544000000000004</v>
      </c>
      <c r="I16" s="260">
        <v>140</v>
      </c>
      <c r="J16" s="87">
        <f t="shared" si="1"/>
        <v>1023.144</v>
      </c>
      <c r="K16" s="266">
        <v>410.8</v>
      </c>
      <c r="L16" s="266">
        <v>17.576000000000004</v>
      </c>
      <c r="M16" s="260">
        <v>110</v>
      </c>
      <c r="N16" s="87">
        <f t="shared" si="2"/>
        <v>538.37599999999998</v>
      </c>
      <c r="O16" s="266">
        <v>822.4</v>
      </c>
      <c r="P16" s="266">
        <v>52.728000000000002</v>
      </c>
      <c r="Q16" s="260">
        <v>300</v>
      </c>
      <c r="R16" s="87">
        <f t="shared" si="3"/>
        <v>1175.1279999999999</v>
      </c>
      <c r="S16" s="266">
        <v>60</v>
      </c>
      <c r="T16" s="266">
        <f>(((((2+1)*1.3)*1.3)*2)*2)*2</f>
        <v>40.56</v>
      </c>
      <c r="U16" s="260">
        <v>80</v>
      </c>
      <c r="V16" s="87">
        <f t="shared" si="4"/>
        <v>180.56</v>
      </c>
      <c r="W16" s="266">
        <v>0</v>
      </c>
      <c r="X16" s="266">
        <v>297.44</v>
      </c>
      <c r="Y16" s="260">
        <v>45</v>
      </c>
      <c r="Z16" s="87">
        <f t="shared" si="5"/>
        <v>342.44</v>
      </c>
      <c r="AA16" s="94">
        <f t="shared" si="13"/>
        <v>3585.7839999999997</v>
      </c>
      <c r="AB16" s="96" t="s">
        <v>53</v>
      </c>
      <c r="AC16" s="138"/>
      <c r="AD16" s="146">
        <v>9</v>
      </c>
      <c r="AE16" s="147" t="s">
        <v>12</v>
      </c>
      <c r="AF16" s="141">
        <f t="shared" si="6"/>
        <v>2329.6</v>
      </c>
      <c r="AG16" s="141">
        <f t="shared" si="7"/>
        <v>496.18400000000003</v>
      </c>
      <c r="AH16" s="141">
        <f t="shared" si="8"/>
        <v>760</v>
      </c>
      <c r="AI16" s="108"/>
      <c r="AJ16" s="148">
        <v>9</v>
      </c>
      <c r="AK16" s="149" t="s">
        <v>12</v>
      </c>
      <c r="AL16" s="144">
        <f t="shared" si="9"/>
        <v>2329.6</v>
      </c>
      <c r="AM16" s="145">
        <f t="shared" si="10"/>
        <v>0.64967661186507608</v>
      </c>
      <c r="AN16" s="144">
        <f t="shared" si="14"/>
        <v>496.18400000000003</v>
      </c>
      <c r="AO16" s="145">
        <f t="shared" si="11"/>
        <v>0.13837531764322672</v>
      </c>
      <c r="AP16" s="144">
        <f t="shared" si="15"/>
        <v>760</v>
      </c>
      <c r="AQ16" s="145">
        <f t="shared" si="12"/>
        <v>0.21194807049169723</v>
      </c>
    </row>
    <row r="17" spans="1:43" x14ac:dyDescent="0.25">
      <c r="A17" s="156">
        <v>10</v>
      </c>
      <c r="B17" s="157" t="s">
        <v>13</v>
      </c>
      <c r="C17" s="266">
        <v>178.8</v>
      </c>
      <c r="D17" s="266">
        <f>(((((4.4+2)*1.3)*1.3)*2)*2)*2</f>
        <v>86.528000000000006</v>
      </c>
      <c r="E17" s="260">
        <v>40</v>
      </c>
      <c r="F17" s="87">
        <f t="shared" si="0"/>
        <v>305.32800000000003</v>
      </c>
      <c r="G17" s="266">
        <v>420.8</v>
      </c>
      <c r="H17" s="266">
        <f>(((((1.8+2)*1.3)*1.3)*2)*2)*2</f>
        <v>51.375999999999998</v>
      </c>
      <c r="I17" s="260">
        <v>120</v>
      </c>
      <c r="J17" s="87">
        <f t="shared" si="1"/>
        <v>592.17599999999993</v>
      </c>
      <c r="K17" s="266">
        <v>412.4</v>
      </c>
      <c r="L17" s="266">
        <v>13.520000000000001</v>
      </c>
      <c r="M17" s="260">
        <v>115</v>
      </c>
      <c r="N17" s="87">
        <f t="shared" si="2"/>
        <v>540.91999999999996</v>
      </c>
      <c r="O17" s="266">
        <v>1212.4000000000001</v>
      </c>
      <c r="P17" s="266">
        <f>(((((0.8+1)*1.3)*1.3)*2)*2)*2</f>
        <v>24.336000000000006</v>
      </c>
      <c r="Q17" s="260">
        <v>420</v>
      </c>
      <c r="R17" s="87">
        <f t="shared" si="3"/>
        <v>1656.7360000000001</v>
      </c>
      <c r="S17" s="266">
        <v>80</v>
      </c>
      <c r="T17" s="266">
        <f>(((((2+3)*1.3)*1.3)*2)*2)*2</f>
        <v>67.600000000000009</v>
      </c>
      <c r="U17" s="260">
        <v>80</v>
      </c>
      <c r="V17" s="87">
        <f t="shared" si="4"/>
        <v>227.60000000000002</v>
      </c>
      <c r="W17" s="266">
        <v>0</v>
      </c>
      <c r="X17" s="266">
        <v>297.44</v>
      </c>
      <c r="Y17" s="260">
        <v>30</v>
      </c>
      <c r="Z17" s="87">
        <f t="shared" si="5"/>
        <v>327.44</v>
      </c>
      <c r="AA17" s="94">
        <f t="shared" si="13"/>
        <v>3650.2</v>
      </c>
      <c r="AB17" s="96" t="s">
        <v>53</v>
      </c>
      <c r="AC17" s="138"/>
      <c r="AD17" s="146">
        <v>10</v>
      </c>
      <c r="AE17" s="147" t="s">
        <v>13</v>
      </c>
      <c r="AF17" s="141">
        <f>(C17+G17+K17+O17+S17+W17)</f>
        <v>2304.4</v>
      </c>
      <c r="AG17" s="141">
        <f>(D17+H17+L17+P17+T17+X17)</f>
        <v>540.79999999999995</v>
      </c>
      <c r="AH17" s="141">
        <f>(E17+I17+M17+Q17++U17+Y17)</f>
        <v>805</v>
      </c>
      <c r="AI17" s="108"/>
      <c r="AJ17" s="148">
        <v>10</v>
      </c>
      <c r="AK17" s="149" t="s">
        <v>13</v>
      </c>
      <c r="AL17" s="144">
        <f t="shared" si="9"/>
        <v>2304.4</v>
      </c>
      <c r="AM17" s="145">
        <f t="shared" si="10"/>
        <v>0.6313078735411759</v>
      </c>
      <c r="AN17" s="144">
        <f t="shared" si="14"/>
        <v>540.79999999999995</v>
      </c>
      <c r="AO17" s="145">
        <f t="shared" si="11"/>
        <v>0.14815626541011451</v>
      </c>
      <c r="AP17" s="144">
        <f t="shared" si="15"/>
        <v>805</v>
      </c>
      <c r="AQ17" s="145">
        <f t="shared" si="12"/>
        <v>0.22053586104870967</v>
      </c>
    </row>
    <row r="18" spans="1:43" x14ac:dyDescent="0.25">
      <c r="A18" s="156">
        <v>11</v>
      </c>
      <c r="B18" s="157" t="s">
        <v>14</v>
      </c>
      <c r="C18" s="266">
        <v>172.4</v>
      </c>
      <c r="D18" s="266">
        <v>21.632000000000001</v>
      </c>
      <c r="E18" s="260">
        <v>35</v>
      </c>
      <c r="F18" s="87">
        <f t="shared" si="0"/>
        <v>229.03200000000001</v>
      </c>
      <c r="G18" s="266">
        <v>816.8</v>
      </c>
      <c r="H18" s="266">
        <v>32.448</v>
      </c>
      <c r="I18" s="260">
        <v>200</v>
      </c>
      <c r="J18" s="87">
        <f t="shared" si="1"/>
        <v>1049.248</v>
      </c>
      <c r="K18" s="266">
        <v>412.8</v>
      </c>
      <c r="L18" s="266">
        <v>28.392000000000007</v>
      </c>
      <c r="M18" s="260">
        <v>200</v>
      </c>
      <c r="N18" s="87">
        <f t="shared" si="2"/>
        <v>641.19200000000001</v>
      </c>
      <c r="O18" s="266">
        <v>815.6</v>
      </c>
      <c r="P18" s="266">
        <f>(((((1.4+1)*1.3)*1.3)*2)*2)*2</f>
        <v>32.448</v>
      </c>
      <c r="Q18" s="260">
        <v>300</v>
      </c>
      <c r="R18" s="87">
        <f t="shared" si="3"/>
        <v>1148.048</v>
      </c>
      <c r="S18" s="266">
        <v>60</v>
      </c>
      <c r="T18" s="266">
        <f>(((((2+2)*1.3)*1.3)*2)*2)*2</f>
        <v>54.080000000000005</v>
      </c>
      <c r="U18" s="260">
        <v>70</v>
      </c>
      <c r="V18" s="87">
        <f t="shared" si="4"/>
        <v>184.08</v>
      </c>
      <c r="W18" s="266">
        <v>120</v>
      </c>
      <c r="X18" s="266">
        <v>297.44</v>
      </c>
      <c r="Y18" s="260">
        <v>130</v>
      </c>
      <c r="Z18" s="87">
        <f t="shared" si="5"/>
        <v>547.44000000000005</v>
      </c>
      <c r="AA18" s="94">
        <f t="shared" si="13"/>
        <v>3799.04</v>
      </c>
      <c r="AB18" s="96" t="s">
        <v>53</v>
      </c>
      <c r="AC18" s="138"/>
      <c r="AD18" s="146">
        <v>11</v>
      </c>
      <c r="AE18" s="147" t="s">
        <v>14</v>
      </c>
      <c r="AF18" s="141">
        <f t="shared" ref="AF18:AF38" si="16">(C18+G18+K18+O18+S18+W18)</f>
        <v>2397.6</v>
      </c>
      <c r="AG18" s="141">
        <f t="shared" ref="AG18:AG38" si="17">(D18+H18+L18+P18+T18+X18)</f>
        <v>466.44000000000005</v>
      </c>
      <c r="AH18" s="141">
        <f t="shared" ref="AH18:AH38" si="18">(E18+I18+M18+Q18++U18+Y18)</f>
        <v>935</v>
      </c>
      <c r="AI18" s="108"/>
      <c r="AJ18" s="148">
        <v>11</v>
      </c>
      <c r="AK18" s="149" t="s">
        <v>14</v>
      </c>
      <c r="AL18" s="144">
        <f t="shared" si="9"/>
        <v>2397.6</v>
      </c>
      <c r="AM18" s="145">
        <f t="shared" si="10"/>
        <v>0.63110680592991908</v>
      </c>
      <c r="AN18" s="144">
        <f t="shared" si="14"/>
        <v>466.44000000000005</v>
      </c>
      <c r="AO18" s="145">
        <f t="shared" si="11"/>
        <v>0.1227783861185984</v>
      </c>
      <c r="AP18" s="144">
        <f t="shared" si="15"/>
        <v>935</v>
      </c>
      <c r="AQ18" s="145">
        <f t="shared" si="12"/>
        <v>0.24611480795148249</v>
      </c>
    </row>
    <row r="19" spans="1:43" x14ac:dyDescent="0.25">
      <c r="A19" s="156">
        <v>12</v>
      </c>
      <c r="B19" s="157" t="s">
        <v>15</v>
      </c>
      <c r="C19" s="266">
        <v>214.8</v>
      </c>
      <c r="D19" s="266">
        <f>(((((3.4+2)*1.3)*1.3)*2)*2)*2</f>
        <v>73.00800000000001</v>
      </c>
      <c r="E19" s="260">
        <v>65</v>
      </c>
      <c r="F19" s="87">
        <f t="shared" si="0"/>
        <v>352.80799999999999</v>
      </c>
      <c r="G19" s="266">
        <v>813.2</v>
      </c>
      <c r="H19" s="266">
        <f>(((((4.8+1)*1.3)*1.3)*2)*2)*2</f>
        <v>78.415999999999997</v>
      </c>
      <c r="I19" s="260">
        <v>350</v>
      </c>
      <c r="J19" s="87">
        <f t="shared" si="1"/>
        <v>1241.616</v>
      </c>
      <c r="K19" s="266">
        <v>211.6</v>
      </c>
      <c r="L19" s="266">
        <v>50.024000000000008</v>
      </c>
      <c r="M19" s="260">
        <v>50</v>
      </c>
      <c r="N19" s="87">
        <f t="shared" si="2"/>
        <v>311.62400000000002</v>
      </c>
      <c r="O19" s="266">
        <v>1216</v>
      </c>
      <c r="P19" s="266">
        <f>(((((0.7+1)*1.3)*1.3)*2)*2)*2</f>
        <v>22.984000000000002</v>
      </c>
      <c r="Q19" s="260">
        <v>600</v>
      </c>
      <c r="R19" s="87">
        <f t="shared" si="3"/>
        <v>1838.9839999999999</v>
      </c>
      <c r="S19" s="266">
        <v>80</v>
      </c>
      <c r="T19" s="266">
        <f>(((((2+2)*1.3)*1.3)*2)*2)*2</f>
        <v>54.080000000000005</v>
      </c>
      <c r="U19" s="260">
        <v>90</v>
      </c>
      <c r="V19" s="87">
        <f t="shared" si="4"/>
        <v>224.08</v>
      </c>
      <c r="W19" s="266">
        <v>0</v>
      </c>
      <c r="X19" s="266">
        <f>(((((22+1)*1.3)*1.3)*2)*2)*2</f>
        <v>310.96000000000004</v>
      </c>
      <c r="Y19" s="260">
        <v>55</v>
      </c>
      <c r="Z19" s="87">
        <f t="shared" si="5"/>
        <v>365.96000000000004</v>
      </c>
      <c r="AA19" s="94">
        <f t="shared" si="13"/>
        <v>4335.0720000000001</v>
      </c>
      <c r="AB19" s="96" t="s">
        <v>53</v>
      </c>
      <c r="AC19" s="138"/>
      <c r="AD19" s="146">
        <v>12</v>
      </c>
      <c r="AE19" s="147" t="s">
        <v>15</v>
      </c>
      <c r="AF19" s="141">
        <f t="shared" si="16"/>
        <v>2535.6</v>
      </c>
      <c r="AG19" s="141">
        <f t="shared" si="17"/>
        <v>589.47199999999998</v>
      </c>
      <c r="AH19" s="141">
        <f t="shared" si="18"/>
        <v>1210</v>
      </c>
      <c r="AI19" s="108"/>
      <c r="AJ19" s="148">
        <v>12</v>
      </c>
      <c r="AK19" s="149" t="s">
        <v>15</v>
      </c>
      <c r="AL19" s="144">
        <f t="shared" si="9"/>
        <v>2535.6</v>
      </c>
      <c r="AM19" s="145">
        <f t="shared" si="10"/>
        <v>0.58490378014482802</v>
      </c>
      <c r="AN19" s="144">
        <f t="shared" si="14"/>
        <v>589.47199999999998</v>
      </c>
      <c r="AO19" s="145">
        <f t="shared" si="11"/>
        <v>0.13597744166648212</v>
      </c>
      <c r="AP19" s="144">
        <f t="shared" si="15"/>
        <v>1210</v>
      </c>
      <c r="AQ19" s="145">
        <f t="shared" si="12"/>
        <v>0.2791187781886898</v>
      </c>
    </row>
    <row r="20" spans="1:43" x14ac:dyDescent="0.25">
      <c r="A20" s="156">
        <v>13</v>
      </c>
      <c r="B20" s="157" t="s">
        <v>16</v>
      </c>
      <c r="C20" s="266">
        <v>80</v>
      </c>
      <c r="D20" s="266">
        <v>0</v>
      </c>
      <c r="E20" s="260">
        <v>10</v>
      </c>
      <c r="F20" s="87">
        <f t="shared" si="0"/>
        <v>90</v>
      </c>
      <c r="G20" s="266">
        <v>200</v>
      </c>
      <c r="H20" s="266">
        <v>0</v>
      </c>
      <c r="I20" s="260">
        <v>30</v>
      </c>
      <c r="J20" s="87">
        <f t="shared" si="1"/>
        <v>230</v>
      </c>
      <c r="K20" s="266">
        <v>0</v>
      </c>
      <c r="L20" s="266">
        <v>0</v>
      </c>
      <c r="M20" s="260"/>
      <c r="N20" s="87">
        <f t="shared" si="2"/>
        <v>0</v>
      </c>
      <c r="O20" s="266">
        <v>0</v>
      </c>
      <c r="P20" s="266">
        <v>0</v>
      </c>
      <c r="Q20" s="260">
        <f>[2]Juli!AC18+[1]Juli!AC18+[3]Juli!AC18</f>
        <v>180</v>
      </c>
      <c r="R20" s="87">
        <f t="shared" si="3"/>
        <v>180</v>
      </c>
      <c r="S20" s="266">
        <v>40</v>
      </c>
      <c r="T20" s="266">
        <v>0</v>
      </c>
      <c r="U20" s="260">
        <v>20</v>
      </c>
      <c r="V20" s="87">
        <f t="shared" si="4"/>
        <v>60</v>
      </c>
      <c r="W20" s="266">
        <v>0</v>
      </c>
      <c r="X20" s="266">
        <v>0</v>
      </c>
      <c r="Y20" s="260">
        <v>30</v>
      </c>
      <c r="Z20" s="87">
        <f t="shared" si="5"/>
        <v>30</v>
      </c>
      <c r="AA20" s="94">
        <f t="shared" si="13"/>
        <v>590</v>
      </c>
      <c r="AB20" s="96" t="s">
        <v>53</v>
      </c>
      <c r="AC20" s="138"/>
      <c r="AD20" s="146">
        <v>13</v>
      </c>
      <c r="AE20" s="147" t="s">
        <v>16</v>
      </c>
      <c r="AF20" s="141">
        <f t="shared" si="16"/>
        <v>320</v>
      </c>
      <c r="AG20" s="141">
        <f t="shared" si="17"/>
        <v>0</v>
      </c>
      <c r="AH20" s="141">
        <f t="shared" si="18"/>
        <v>270</v>
      </c>
      <c r="AI20" s="108"/>
      <c r="AJ20" s="148">
        <v>13</v>
      </c>
      <c r="AK20" s="149" t="s">
        <v>16</v>
      </c>
      <c r="AL20" s="144">
        <f t="shared" si="9"/>
        <v>320</v>
      </c>
      <c r="AM20" s="145">
        <f t="shared" si="10"/>
        <v>0.5423728813559322</v>
      </c>
      <c r="AN20" s="144">
        <f t="shared" si="14"/>
        <v>0</v>
      </c>
      <c r="AO20" s="145">
        <f t="shared" si="11"/>
        <v>0</v>
      </c>
      <c r="AP20" s="144">
        <f t="shared" si="15"/>
        <v>270</v>
      </c>
      <c r="AQ20" s="145">
        <f t="shared" si="12"/>
        <v>0.4576271186440678</v>
      </c>
    </row>
    <row r="21" spans="1:43" x14ac:dyDescent="0.25">
      <c r="A21" s="156">
        <v>14</v>
      </c>
      <c r="B21" s="157" t="s">
        <v>17</v>
      </c>
      <c r="C21" s="266">
        <v>0</v>
      </c>
      <c r="D21" s="266">
        <v>13.520000000000001</v>
      </c>
      <c r="E21" s="260">
        <v>0</v>
      </c>
      <c r="F21" s="87">
        <f t="shared" si="0"/>
        <v>13.520000000000001</v>
      </c>
      <c r="G21" s="266">
        <v>0</v>
      </c>
      <c r="H21" s="266">
        <v>27.040000000000003</v>
      </c>
      <c r="I21" s="260">
        <v>0</v>
      </c>
      <c r="J21" s="87">
        <f t="shared" si="1"/>
        <v>27.040000000000003</v>
      </c>
      <c r="K21" s="266">
        <v>0</v>
      </c>
      <c r="L21" s="266">
        <v>0</v>
      </c>
      <c r="M21" s="260"/>
      <c r="N21" s="87">
        <f t="shared" si="2"/>
        <v>0</v>
      </c>
      <c r="O21" s="266">
        <v>0</v>
      </c>
      <c r="P21" s="266">
        <v>0</v>
      </c>
      <c r="Q21" s="260">
        <f>[2]Juli!AC19+[1]Juli!AC19+[3]Juli!AC19</f>
        <v>0</v>
      </c>
      <c r="R21" s="87">
        <f t="shared" si="3"/>
        <v>0</v>
      </c>
      <c r="S21" s="266">
        <v>0</v>
      </c>
      <c r="T21" s="266">
        <v>0</v>
      </c>
      <c r="U21" s="260"/>
      <c r="V21" s="87">
        <f t="shared" si="4"/>
        <v>0</v>
      </c>
      <c r="W21" s="266">
        <v>0</v>
      </c>
      <c r="X21" s="266">
        <v>0</v>
      </c>
      <c r="Y21" s="260">
        <v>0</v>
      </c>
      <c r="Z21" s="87">
        <f t="shared" si="5"/>
        <v>0</v>
      </c>
      <c r="AA21" s="94">
        <f t="shared" si="13"/>
        <v>40.56</v>
      </c>
      <c r="AB21" s="96" t="s">
        <v>53</v>
      </c>
      <c r="AC21" s="138"/>
      <c r="AD21" s="146">
        <v>14</v>
      </c>
      <c r="AE21" s="147" t="s">
        <v>17</v>
      </c>
      <c r="AF21" s="141">
        <f t="shared" si="16"/>
        <v>0</v>
      </c>
      <c r="AG21" s="141">
        <f t="shared" si="17"/>
        <v>40.56</v>
      </c>
      <c r="AH21" s="141">
        <f t="shared" si="18"/>
        <v>0</v>
      </c>
      <c r="AI21" s="108"/>
      <c r="AJ21" s="148">
        <v>14</v>
      </c>
      <c r="AK21" s="149" t="s">
        <v>17</v>
      </c>
      <c r="AL21" s="144">
        <f t="shared" si="9"/>
        <v>0</v>
      </c>
      <c r="AM21" s="145">
        <f t="shared" si="10"/>
        <v>0</v>
      </c>
      <c r="AN21" s="144">
        <f t="shared" si="14"/>
        <v>40.56</v>
      </c>
      <c r="AO21" s="145">
        <f t="shared" si="11"/>
        <v>1</v>
      </c>
      <c r="AP21" s="144">
        <f t="shared" si="15"/>
        <v>0</v>
      </c>
      <c r="AQ21" s="145">
        <f t="shared" si="12"/>
        <v>0</v>
      </c>
    </row>
    <row r="22" spans="1:43" x14ac:dyDescent="0.25">
      <c r="A22" s="156">
        <v>15</v>
      </c>
      <c r="B22" s="157" t="s">
        <v>18</v>
      </c>
      <c r="C22" s="266">
        <v>100.4</v>
      </c>
      <c r="D22" s="266">
        <v>9.4639999999999986</v>
      </c>
      <c r="E22" s="260">
        <v>10</v>
      </c>
      <c r="F22" s="87">
        <f t="shared" si="0"/>
        <v>119.864</v>
      </c>
      <c r="G22" s="266">
        <v>416.4</v>
      </c>
      <c r="H22" s="266">
        <v>28.392000000000007</v>
      </c>
      <c r="I22" s="260">
        <v>80</v>
      </c>
      <c r="J22" s="87">
        <f t="shared" si="1"/>
        <v>524.79199999999992</v>
      </c>
      <c r="K22" s="266">
        <v>210.8</v>
      </c>
      <c r="L22" s="266">
        <v>48.672000000000011</v>
      </c>
      <c r="M22" s="260">
        <v>140</v>
      </c>
      <c r="N22" s="87">
        <f t="shared" si="2"/>
        <v>399.47200000000004</v>
      </c>
      <c r="O22" s="266">
        <v>420.8</v>
      </c>
      <c r="P22" s="266">
        <f>(((((4.8+1)*1.3)*1.3)*2)*2)*2</f>
        <v>78.415999999999997</v>
      </c>
      <c r="Q22" s="260">
        <v>180</v>
      </c>
      <c r="R22" s="87">
        <f t="shared" si="3"/>
        <v>679.21600000000001</v>
      </c>
      <c r="S22" s="266">
        <v>40</v>
      </c>
      <c r="T22" s="266">
        <v>40.56</v>
      </c>
      <c r="U22" s="260">
        <v>20</v>
      </c>
      <c r="V22" s="87">
        <f t="shared" si="4"/>
        <v>100.56</v>
      </c>
      <c r="W22" s="266">
        <v>0</v>
      </c>
      <c r="X22" s="266">
        <v>270.40000000000003</v>
      </c>
      <c r="Y22" s="260">
        <v>20</v>
      </c>
      <c r="Z22" s="87">
        <f t="shared" si="5"/>
        <v>290.40000000000003</v>
      </c>
      <c r="AA22" s="94">
        <f t="shared" si="13"/>
        <v>2114.3040000000001</v>
      </c>
      <c r="AB22" s="96" t="s">
        <v>53</v>
      </c>
      <c r="AC22" s="138"/>
      <c r="AD22" s="146">
        <v>15</v>
      </c>
      <c r="AE22" s="147" t="s">
        <v>18</v>
      </c>
      <c r="AF22" s="141">
        <f t="shared" si="16"/>
        <v>1188.3999999999999</v>
      </c>
      <c r="AG22" s="141">
        <f t="shared" si="17"/>
        <v>475.90400000000005</v>
      </c>
      <c r="AH22" s="141">
        <f t="shared" si="18"/>
        <v>450</v>
      </c>
      <c r="AI22" s="108"/>
      <c r="AJ22" s="148">
        <v>15</v>
      </c>
      <c r="AK22" s="149" t="s">
        <v>18</v>
      </c>
      <c r="AL22" s="144">
        <f t="shared" si="9"/>
        <v>1188.3999999999999</v>
      </c>
      <c r="AM22" s="145">
        <f t="shared" si="10"/>
        <v>0.56207621988134149</v>
      </c>
      <c r="AN22" s="144">
        <f t="shared" si="14"/>
        <v>475.90400000000005</v>
      </c>
      <c r="AO22" s="145">
        <f t="shared" si="11"/>
        <v>0.22508778302457927</v>
      </c>
      <c r="AP22" s="144">
        <f t="shared" si="15"/>
        <v>450</v>
      </c>
      <c r="AQ22" s="145">
        <f t="shared" si="12"/>
        <v>0.21283599709407919</v>
      </c>
    </row>
    <row r="23" spans="1:43" x14ac:dyDescent="0.25">
      <c r="A23" s="156">
        <v>16</v>
      </c>
      <c r="B23" s="157" t="s">
        <v>19</v>
      </c>
      <c r="C23" s="266">
        <v>176.8</v>
      </c>
      <c r="D23" s="266">
        <f>(((((0.8+2)*1.3)*1.3)*2)*2)*2</f>
        <v>37.855999999999995</v>
      </c>
      <c r="E23" s="260">
        <v>30</v>
      </c>
      <c r="F23" s="87">
        <f t="shared" si="0"/>
        <v>244.65600000000001</v>
      </c>
      <c r="G23" s="266">
        <v>1021.2</v>
      </c>
      <c r="H23" s="266">
        <f>(((((0.7+1)*1.3)*1.3)*2)*2)*2</f>
        <v>22.984000000000002</v>
      </c>
      <c r="I23" s="260">
        <v>250</v>
      </c>
      <c r="J23" s="87">
        <f t="shared" si="1"/>
        <v>1294.184</v>
      </c>
      <c r="K23" s="266">
        <v>211.2</v>
      </c>
      <c r="L23" s="266">
        <v>20.28</v>
      </c>
      <c r="M23" s="260">
        <v>70</v>
      </c>
      <c r="N23" s="87">
        <f t="shared" si="2"/>
        <v>301.48</v>
      </c>
      <c r="O23" s="266">
        <v>1217.2</v>
      </c>
      <c r="P23" s="266">
        <v>10.816000000000001</v>
      </c>
      <c r="Q23" s="260">
        <v>650</v>
      </c>
      <c r="R23" s="87">
        <f t="shared" si="3"/>
        <v>1878.0160000000001</v>
      </c>
      <c r="S23" s="266">
        <v>120</v>
      </c>
      <c r="T23" s="266">
        <v>13.520000000000001</v>
      </c>
      <c r="U23" s="260">
        <v>70</v>
      </c>
      <c r="V23" s="87">
        <f t="shared" si="4"/>
        <v>203.52</v>
      </c>
      <c r="W23" s="266">
        <v>0</v>
      </c>
      <c r="X23" s="266">
        <v>270.40000000000003</v>
      </c>
      <c r="Y23" s="260">
        <v>20</v>
      </c>
      <c r="Z23" s="87">
        <f t="shared" si="5"/>
        <v>290.40000000000003</v>
      </c>
      <c r="AA23" s="94">
        <f t="shared" si="13"/>
        <v>4212.2560000000003</v>
      </c>
      <c r="AB23" s="96" t="s">
        <v>53</v>
      </c>
      <c r="AC23" s="138"/>
      <c r="AD23" s="146">
        <v>16</v>
      </c>
      <c r="AE23" s="147" t="s">
        <v>19</v>
      </c>
      <c r="AF23" s="141">
        <f t="shared" si="16"/>
        <v>2746.4</v>
      </c>
      <c r="AG23" s="141">
        <f t="shared" si="17"/>
        <v>375.85600000000005</v>
      </c>
      <c r="AH23" s="141">
        <f t="shared" si="18"/>
        <v>1090</v>
      </c>
      <c r="AI23" s="108"/>
      <c r="AJ23" s="148">
        <v>16</v>
      </c>
      <c r="AK23" s="149" t="s">
        <v>19</v>
      </c>
      <c r="AL23" s="144">
        <f t="shared" si="9"/>
        <v>2746.4</v>
      </c>
      <c r="AM23" s="145">
        <f t="shared" si="10"/>
        <v>0.65200215751369339</v>
      </c>
      <c r="AN23" s="144">
        <f t="shared" si="14"/>
        <v>375.85600000000005</v>
      </c>
      <c r="AO23" s="145">
        <f t="shared" si="11"/>
        <v>8.9229144667370655E-2</v>
      </c>
      <c r="AP23" s="144">
        <f t="shared" si="15"/>
        <v>1090</v>
      </c>
      <c r="AQ23" s="145">
        <f t="shared" si="12"/>
        <v>0.25876869781893597</v>
      </c>
    </row>
    <row r="24" spans="1:43" x14ac:dyDescent="0.25">
      <c r="A24" s="156">
        <v>17</v>
      </c>
      <c r="B24" s="157" t="s">
        <v>20</v>
      </c>
      <c r="C24" s="266">
        <v>175.2</v>
      </c>
      <c r="D24" s="266">
        <v>16.224</v>
      </c>
      <c r="E24" s="260">
        <v>45</v>
      </c>
      <c r="F24" s="87">
        <f t="shared" si="0"/>
        <v>236.42399999999998</v>
      </c>
      <c r="G24" s="266">
        <v>813.6</v>
      </c>
      <c r="H24" s="266">
        <v>9.4639999999999986</v>
      </c>
      <c r="I24" s="260">
        <v>230</v>
      </c>
      <c r="J24" s="87">
        <f t="shared" si="1"/>
        <v>1053.0640000000001</v>
      </c>
      <c r="K24" s="266">
        <v>209.6</v>
      </c>
      <c r="L24" s="266">
        <v>28.392000000000007</v>
      </c>
      <c r="M24" s="260">
        <v>100</v>
      </c>
      <c r="N24" s="87">
        <f t="shared" si="2"/>
        <v>337.99199999999996</v>
      </c>
      <c r="O24" s="266">
        <v>1214</v>
      </c>
      <c r="P24" s="266">
        <f>(((((0.6+1)*1.3)*1.3)*2)*2)*2</f>
        <v>21.632000000000001</v>
      </c>
      <c r="Q24" s="260">
        <v>520</v>
      </c>
      <c r="R24" s="87">
        <f t="shared" si="3"/>
        <v>1755.6320000000001</v>
      </c>
      <c r="S24" s="266">
        <v>80</v>
      </c>
      <c r="T24" s="266">
        <v>27.040000000000003</v>
      </c>
      <c r="U24" s="260">
        <v>60</v>
      </c>
      <c r="V24" s="87">
        <f t="shared" si="4"/>
        <v>167.04000000000002</v>
      </c>
      <c r="W24" s="266">
        <v>0</v>
      </c>
      <c r="X24" s="266">
        <f>(((((20+1)*1.3)*1.3)*2)*2)*2</f>
        <v>283.92</v>
      </c>
      <c r="Y24" s="260">
        <v>35</v>
      </c>
      <c r="Z24" s="87">
        <f t="shared" si="5"/>
        <v>318.92</v>
      </c>
      <c r="AA24" s="94">
        <f t="shared" si="13"/>
        <v>3869.0720000000001</v>
      </c>
      <c r="AB24" s="96" t="s">
        <v>53</v>
      </c>
      <c r="AC24" s="138"/>
      <c r="AD24" s="146">
        <v>17</v>
      </c>
      <c r="AE24" s="147" t="s">
        <v>20</v>
      </c>
      <c r="AF24" s="141">
        <f t="shared" si="16"/>
        <v>2492.3999999999996</v>
      </c>
      <c r="AG24" s="141">
        <f t="shared" si="17"/>
        <v>386.67200000000003</v>
      </c>
      <c r="AH24" s="141">
        <f t="shared" si="18"/>
        <v>990</v>
      </c>
      <c r="AI24" s="108"/>
      <c r="AJ24" s="148">
        <v>17</v>
      </c>
      <c r="AK24" s="149" t="s">
        <v>20</v>
      </c>
      <c r="AL24" s="144">
        <f t="shared" si="9"/>
        <v>2492.3999999999996</v>
      </c>
      <c r="AM24" s="145">
        <f t="shared" si="10"/>
        <v>0.64418547910196544</v>
      </c>
      <c r="AN24" s="144">
        <f t="shared" si="14"/>
        <v>386.67200000000003</v>
      </c>
      <c r="AO24" s="145">
        <f t="shared" si="11"/>
        <v>9.9939210229222933E-2</v>
      </c>
      <c r="AP24" s="144">
        <f t="shared" si="15"/>
        <v>990</v>
      </c>
      <c r="AQ24" s="145">
        <f t="shared" si="12"/>
        <v>0.25587531066881153</v>
      </c>
    </row>
    <row r="25" spans="1:43" x14ac:dyDescent="0.25">
      <c r="A25" s="156">
        <v>18</v>
      </c>
      <c r="B25" s="157" t="s">
        <v>21</v>
      </c>
      <c r="C25" s="266">
        <v>214.8</v>
      </c>
      <c r="D25" s="266">
        <f>(((((0.9+1)*1.3)*1.3)*2)*2)*2</f>
        <v>25.687999999999999</v>
      </c>
      <c r="E25" s="260">
        <v>65</v>
      </c>
      <c r="F25" s="87">
        <f t="shared" si="0"/>
        <v>305.488</v>
      </c>
      <c r="G25" s="266">
        <v>1216.8</v>
      </c>
      <c r="H25" s="266">
        <f>(((((3.3+1)*1.3)*1.3)*2)*2)*2</f>
        <v>58.136000000000003</v>
      </c>
      <c r="I25" s="260">
        <v>550</v>
      </c>
      <c r="J25" s="87">
        <f t="shared" si="1"/>
        <v>1824.9359999999999</v>
      </c>
      <c r="K25" s="266">
        <v>330</v>
      </c>
      <c r="L25" s="266">
        <v>20.28</v>
      </c>
      <c r="M25" s="260">
        <v>120</v>
      </c>
      <c r="N25" s="87">
        <f t="shared" si="2"/>
        <v>470.28</v>
      </c>
      <c r="O25" s="266">
        <v>1214.4000000000001</v>
      </c>
      <c r="P25" s="266">
        <v>37.855999999999995</v>
      </c>
      <c r="Q25" s="260">
        <v>1200</v>
      </c>
      <c r="R25" s="87">
        <f t="shared" si="3"/>
        <v>2452.2560000000003</v>
      </c>
      <c r="S25" s="266">
        <v>120</v>
      </c>
      <c r="T25" s="266">
        <v>27.040000000000003</v>
      </c>
      <c r="U25" s="260">
        <v>135</v>
      </c>
      <c r="V25" s="87">
        <f t="shared" si="4"/>
        <v>282.03999999999996</v>
      </c>
      <c r="W25" s="266">
        <v>80</v>
      </c>
      <c r="X25" s="266">
        <v>0</v>
      </c>
      <c r="Y25" s="260">
        <v>120</v>
      </c>
      <c r="Z25" s="87">
        <f t="shared" si="5"/>
        <v>200</v>
      </c>
      <c r="AA25" s="94">
        <f t="shared" si="13"/>
        <v>5535</v>
      </c>
      <c r="AB25" s="96" t="s">
        <v>53</v>
      </c>
      <c r="AC25" s="138"/>
      <c r="AD25" s="146">
        <v>18</v>
      </c>
      <c r="AE25" s="147" t="s">
        <v>21</v>
      </c>
      <c r="AF25" s="141">
        <f t="shared" si="16"/>
        <v>3176</v>
      </c>
      <c r="AG25" s="141">
        <f t="shared" si="17"/>
        <v>168.99999999999997</v>
      </c>
      <c r="AH25" s="141">
        <f t="shared" si="18"/>
        <v>2190</v>
      </c>
      <c r="AI25" s="108"/>
      <c r="AJ25" s="148">
        <v>18</v>
      </c>
      <c r="AK25" s="149" t="s">
        <v>21</v>
      </c>
      <c r="AL25" s="144">
        <f t="shared" si="9"/>
        <v>3176</v>
      </c>
      <c r="AM25" s="145">
        <f t="shared" si="10"/>
        <v>0.57380307136404696</v>
      </c>
      <c r="AN25" s="144">
        <f t="shared" si="14"/>
        <v>168.99999999999997</v>
      </c>
      <c r="AO25" s="145">
        <f t="shared" si="11"/>
        <v>3.0532971996386625E-2</v>
      </c>
      <c r="AP25" s="144">
        <f t="shared" si="15"/>
        <v>2190</v>
      </c>
      <c r="AQ25" s="145">
        <f t="shared" si="12"/>
        <v>0.39566395663956638</v>
      </c>
    </row>
    <row r="26" spans="1:43" x14ac:dyDescent="0.25">
      <c r="A26" s="156">
        <v>19</v>
      </c>
      <c r="B26" s="157" t="s">
        <v>22</v>
      </c>
      <c r="C26" s="266">
        <v>179.2</v>
      </c>
      <c r="D26" s="266">
        <f>(((((3.4+1)*1.3)*1.3)*2)*2)*2</f>
        <v>59.488000000000007</v>
      </c>
      <c r="E26" s="260">
        <v>30</v>
      </c>
      <c r="F26" s="87">
        <f t="shared" si="0"/>
        <v>268.68799999999999</v>
      </c>
      <c r="G26" s="266">
        <v>815.2</v>
      </c>
      <c r="H26" s="266">
        <v>16.224</v>
      </c>
      <c r="I26" s="260">
        <v>200</v>
      </c>
      <c r="J26" s="87">
        <f t="shared" si="1"/>
        <v>1031.424</v>
      </c>
      <c r="K26" s="266">
        <v>411.2</v>
      </c>
      <c r="L26" s="266">
        <v>62.192</v>
      </c>
      <c r="M26" s="260">
        <v>100</v>
      </c>
      <c r="N26" s="87">
        <f t="shared" si="2"/>
        <v>573.39200000000005</v>
      </c>
      <c r="O26" s="266">
        <v>1216.8</v>
      </c>
      <c r="P26" s="266">
        <f>(((((2.3+1)*1.3)*1.3)*2)*2)*2</f>
        <v>44.616</v>
      </c>
      <c r="Q26" s="260">
        <v>1090</v>
      </c>
      <c r="R26" s="87">
        <f t="shared" si="3"/>
        <v>2351.4160000000002</v>
      </c>
      <c r="S26" s="266">
        <v>80</v>
      </c>
      <c r="T26" s="266">
        <v>27.040000000000003</v>
      </c>
      <c r="U26" s="260">
        <v>60</v>
      </c>
      <c r="V26" s="87">
        <f t="shared" si="4"/>
        <v>167.04000000000002</v>
      </c>
      <c r="W26" s="266">
        <v>0</v>
      </c>
      <c r="X26" s="266">
        <v>0</v>
      </c>
      <c r="Y26" s="260">
        <v>20</v>
      </c>
      <c r="Z26" s="87">
        <f t="shared" si="5"/>
        <v>20</v>
      </c>
      <c r="AA26" s="94">
        <f t="shared" si="13"/>
        <v>4411.96</v>
      </c>
      <c r="AB26" s="96" t="s">
        <v>53</v>
      </c>
      <c r="AC26" s="138"/>
      <c r="AD26" s="146">
        <v>19</v>
      </c>
      <c r="AE26" s="147" t="s">
        <v>22</v>
      </c>
      <c r="AF26" s="141">
        <f t="shared" si="16"/>
        <v>2702.4</v>
      </c>
      <c r="AG26" s="141">
        <f t="shared" si="17"/>
        <v>209.55999999999997</v>
      </c>
      <c r="AH26" s="141">
        <f t="shared" si="18"/>
        <v>1500</v>
      </c>
      <c r="AI26" s="108"/>
      <c r="AJ26" s="148">
        <v>19</v>
      </c>
      <c r="AK26" s="149" t="s">
        <v>22</v>
      </c>
      <c r="AL26" s="144">
        <f t="shared" si="9"/>
        <v>2702.4</v>
      </c>
      <c r="AM26" s="145">
        <f t="shared" si="10"/>
        <v>0.6125168859191833</v>
      </c>
      <c r="AN26" s="144">
        <f t="shared" si="14"/>
        <v>209.55999999999997</v>
      </c>
      <c r="AO26" s="145">
        <f t="shared" si="11"/>
        <v>4.7498164081269993E-2</v>
      </c>
      <c r="AP26" s="144">
        <f t="shared" si="15"/>
        <v>1500</v>
      </c>
      <c r="AQ26" s="145">
        <f t="shared" si="12"/>
        <v>0.3399849499995467</v>
      </c>
    </row>
    <row r="27" spans="1:43" x14ac:dyDescent="0.25">
      <c r="A27" s="156">
        <v>20</v>
      </c>
      <c r="B27" s="157" t="s">
        <v>23</v>
      </c>
      <c r="C27" s="266">
        <v>80</v>
      </c>
      <c r="D27" s="266">
        <v>0</v>
      </c>
      <c r="E27" s="260">
        <v>15</v>
      </c>
      <c r="F27" s="87">
        <f t="shared" si="0"/>
        <v>95</v>
      </c>
      <c r="G27" s="266">
        <v>400</v>
      </c>
      <c r="H27" s="266">
        <v>27.040000000000003</v>
      </c>
      <c r="I27" s="260">
        <v>80</v>
      </c>
      <c r="J27" s="87">
        <f t="shared" si="1"/>
        <v>507.04</v>
      </c>
      <c r="K27" s="266">
        <v>0</v>
      </c>
      <c r="L27" s="266">
        <v>0</v>
      </c>
      <c r="M27" s="260"/>
      <c r="N27" s="87">
        <f t="shared" si="2"/>
        <v>0</v>
      </c>
      <c r="O27" s="266">
        <v>800</v>
      </c>
      <c r="P27" s="266">
        <v>0</v>
      </c>
      <c r="Q27" s="260">
        <v>550</v>
      </c>
      <c r="R27" s="87">
        <f t="shared" si="3"/>
        <v>1350</v>
      </c>
      <c r="S27" s="266">
        <v>40</v>
      </c>
      <c r="T27" s="266">
        <v>0</v>
      </c>
      <c r="U27" s="260">
        <v>25</v>
      </c>
      <c r="V27" s="87">
        <f t="shared" si="4"/>
        <v>65</v>
      </c>
      <c r="W27" s="266">
        <v>0</v>
      </c>
      <c r="X27" s="266">
        <v>13.520000000000001</v>
      </c>
      <c r="Y27" s="260">
        <v>30</v>
      </c>
      <c r="Z27" s="87">
        <f t="shared" si="5"/>
        <v>43.52</v>
      </c>
      <c r="AA27" s="94">
        <f t="shared" si="13"/>
        <v>2060.56</v>
      </c>
      <c r="AB27" s="96" t="s">
        <v>53</v>
      </c>
      <c r="AC27" s="138"/>
      <c r="AD27" s="146">
        <v>20</v>
      </c>
      <c r="AE27" s="147" t="s">
        <v>23</v>
      </c>
      <c r="AF27" s="141">
        <f t="shared" si="16"/>
        <v>1320</v>
      </c>
      <c r="AG27" s="141">
        <f t="shared" si="17"/>
        <v>40.56</v>
      </c>
      <c r="AH27" s="141">
        <f t="shared" si="18"/>
        <v>700</v>
      </c>
      <c r="AI27" s="108"/>
      <c r="AJ27" s="148">
        <v>20</v>
      </c>
      <c r="AK27" s="149" t="s">
        <v>23</v>
      </c>
      <c r="AL27" s="144">
        <f t="shared" si="9"/>
        <v>1320</v>
      </c>
      <c r="AM27" s="145">
        <f t="shared" si="10"/>
        <v>0.64060255464533911</v>
      </c>
      <c r="AN27" s="144">
        <f t="shared" si="14"/>
        <v>40.56</v>
      </c>
      <c r="AO27" s="145">
        <f t="shared" si="11"/>
        <v>1.9683969406374967E-2</v>
      </c>
      <c r="AP27" s="144">
        <f t="shared" si="15"/>
        <v>700</v>
      </c>
      <c r="AQ27" s="145">
        <f t="shared" si="12"/>
        <v>0.33971347594828594</v>
      </c>
    </row>
    <row r="28" spans="1:43" x14ac:dyDescent="0.25">
      <c r="A28" s="156">
        <v>21</v>
      </c>
      <c r="B28" s="157" t="s">
        <v>24</v>
      </c>
      <c r="C28" s="266">
        <v>0</v>
      </c>
      <c r="D28" s="266">
        <v>0</v>
      </c>
      <c r="E28" s="260">
        <v>0</v>
      </c>
      <c r="F28" s="87">
        <f t="shared" si="0"/>
        <v>0</v>
      </c>
      <c r="G28" s="266">
        <v>0</v>
      </c>
      <c r="H28" s="266">
        <v>0</v>
      </c>
      <c r="I28" s="260">
        <v>0</v>
      </c>
      <c r="J28" s="87">
        <f t="shared" si="1"/>
        <v>0</v>
      </c>
      <c r="K28" s="266">
        <v>0</v>
      </c>
      <c r="L28" s="266">
        <v>0</v>
      </c>
      <c r="M28" s="260"/>
      <c r="N28" s="87">
        <f t="shared" si="2"/>
        <v>0</v>
      </c>
      <c r="O28" s="266">
        <v>0</v>
      </c>
      <c r="P28" s="266">
        <v>0</v>
      </c>
      <c r="Q28" s="260">
        <v>0</v>
      </c>
      <c r="R28" s="87">
        <f t="shared" si="3"/>
        <v>0</v>
      </c>
      <c r="S28" s="266">
        <v>0</v>
      </c>
      <c r="T28" s="266">
        <v>0</v>
      </c>
      <c r="U28" s="260"/>
      <c r="V28" s="87">
        <f t="shared" si="4"/>
        <v>0</v>
      </c>
      <c r="W28" s="266">
        <v>0</v>
      </c>
      <c r="X28" s="266">
        <v>0</v>
      </c>
      <c r="Y28" s="260">
        <v>0</v>
      </c>
      <c r="Z28" s="87">
        <f t="shared" si="5"/>
        <v>0</v>
      </c>
      <c r="AA28" s="94">
        <f t="shared" si="13"/>
        <v>0</v>
      </c>
      <c r="AB28" s="96" t="s">
        <v>53</v>
      </c>
      <c r="AC28" s="138"/>
      <c r="AD28" s="146">
        <v>21</v>
      </c>
      <c r="AE28" s="147" t="s">
        <v>24</v>
      </c>
      <c r="AF28" s="141">
        <f t="shared" si="16"/>
        <v>0</v>
      </c>
      <c r="AG28" s="141">
        <f t="shared" si="17"/>
        <v>0</v>
      </c>
      <c r="AH28" s="141">
        <f t="shared" si="18"/>
        <v>0</v>
      </c>
      <c r="AI28" s="108"/>
      <c r="AJ28" s="148">
        <v>21</v>
      </c>
      <c r="AK28" s="149" t="s">
        <v>24</v>
      </c>
      <c r="AL28" s="144">
        <f t="shared" si="9"/>
        <v>0</v>
      </c>
      <c r="AM28" s="145" t="e">
        <f t="shared" si="10"/>
        <v>#DIV/0!</v>
      </c>
      <c r="AN28" s="144">
        <f t="shared" si="14"/>
        <v>0</v>
      </c>
      <c r="AO28" s="145" t="e">
        <f t="shared" si="11"/>
        <v>#DIV/0!</v>
      </c>
      <c r="AP28" s="144">
        <f t="shared" si="15"/>
        <v>0</v>
      </c>
      <c r="AQ28" s="145" t="e">
        <f t="shared" si="12"/>
        <v>#DIV/0!</v>
      </c>
    </row>
    <row r="29" spans="1:43" x14ac:dyDescent="0.25">
      <c r="A29" s="156">
        <v>22</v>
      </c>
      <c r="B29" s="157" t="s">
        <v>25</v>
      </c>
      <c r="C29" s="266">
        <v>142.80000000000001</v>
      </c>
      <c r="D29" s="266">
        <f>(((((1.2+1)*1.3)*1.3)*2)*2)*2</f>
        <v>29.744000000000003</v>
      </c>
      <c r="E29" s="260">
        <v>70</v>
      </c>
      <c r="F29" s="87">
        <f t="shared" si="0"/>
        <v>242.54400000000001</v>
      </c>
      <c r="G29" s="266">
        <v>813.2</v>
      </c>
      <c r="H29" s="266">
        <f>(((((0.8+1)*1.3)*1.3)*2)*2)*2</f>
        <v>24.336000000000006</v>
      </c>
      <c r="I29" s="260">
        <v>200</v>
      </c>
      <c r="J29" s="87">
        <f t="shared" si="1"/>
        <v>1037.5360000000001</v>
      </c>
      <c r="K29" s="266">
        <v>411.6</v>
      </c>
      <c r="L29" s="266">
        <v>56.784000000000013</v>
      </c>
      <c r="M29" s="260">
        <v>120</v>
      </c>
      <c r="N29" s="87">
        <f t="shared" si="2"/>
        <v>588.38400000000001</v>
      </c>
      <c r="O29" s="266">
        <v>1221.2</v>
      </c>
      <c r="P29" s="266">
        <v>67.600000000000009</v>
      </c>
      <c r="Q29" s="260">
        <v>510</v>
      </c>
      <c r="R29" s="87">
        <f t="shared" si="3"/>
        <v>1798.8</v>
      </c>
      <c r="S29" s="266">
        <v>160</v>
      </c>
      <c r="T29" s="266">
        <v>40.56</v>
      </c>
      <c r="U29" s="260">
        <v>70</v>
      </c>
      <c r="V29" s="87">
        <f t="shared" si="4"/>
        <v>270.56</v>
      </c>
      <c r="W29" s="266">
        <v>0</v>
      </c>
      <c r="X29" s="266">
        <v>270.40000000000003</v>
      </c>
      <c r="Y29" s="260">
        <v>23</v>
      </c>
      <c r="Z29" s="87">
        <f t="shared" si="5"/>
        <v>293.40000000000003</v>
      </c>
      <c r="AA29" s="94">
        <f t="shared" si="13"/>
        <v>4231.2240000000002</v>
      </c>
      <c r="AB29" s="96" t="s">
        <v>53</v>
      </c>
      <c r="AC29" s="138"/>
      <c r="AD29" s="146">
        <v>22</v>
      </c>
      <c r="AE29" s="147" t="s">
        <v>25</v>
      </c>
      <c r="AF29" s="141">
        <f t="shared" si="16"/>
        <v>2748.8</v>
      </c>
      <c r="AG29" s="141">
        <f t="shared" si="17"/>
        <v>489.42400000000009</v>
      </c>
      <c r="AH29" s="141">
        <f t="shared" si="18"/>
        <v>993</v>
      </c>
      <c r="AI29" s="108"/>
      <c r="AJ29" s="148">
        <v>22</v>
      </c>
      <c r="AK29" s="149" t="s">
        <v>25</v>
      </c>
      <c r="AL29" s="144">
        <f t="shared" si="9"/>
        <v>2748.8</v>
      </c>
      <c r="AM29" s="145">
        <f t="shared" si="10"/>
        <v>0.64964653253999316</v>
      </c>
      <c r="AN29" s="144">
        <f t="shared" si="14"/>
        <v>489.42400000000009</v>
      </c>
      <c r="AO29" s="145">
        <f t="shared" si="11"/>
        <v>0.11566960293286295</v>
      </c>
      <c r="AP29" s="144">
        <f t="shared" si="15"/>
        <v>993</v>
      </c>
      <c r="AQ29" s="145">
        <f t="shared" si="12"/>
        <v>0.2346838645271439</v>
      </c>
    </row>
    <row r="30" spans="1:43" x14ac:dyDescent="0.25">
      <c r="A30" s="156">
        <v>23</v>
      </c>
      <c r="B30" s="157" t="s">
        <v>26</v>
      </c>
      <c r="C30" s="266">
        <v>134.80000000000001</v>
      </c>
      <c r="D30" s="266">
        <v>154.12800000000001</v>
      </c>
      <c r="E30" s="260">
        <v>55</v>
      </c>
      <c r="F30" s="87">
        <f t="shared" si="0"/>
        <v>343.928</v>
      </c>
      <c r="G30" s="266">
        <v>817.6</v>
      </c>
      <c r="H30" s="266">
        <v>13.520000000000001</v>
      </c>
      <c r="I30" s="260">
        <v>240</v>
      </c>
      <c r="J30" s="87">
        <f t="shared" si="1"/>
        <v>1071.1199999999999</v>
      </c>
      <c r="K30" s="266">
        <v>212.8</v>
      </c>
      <c r="L30" s="266">
        <v>20.28</v>
      </c>
      <c r="M30" s="260">
        <v>150</v>
      </c>
      <c r="N30" s="87">
        <f t="shared" si="2"/>
        <v>383.08000000000004</v>
      </c>
      <c r="O30" s="266">
        <v>815.6</v>
      </c>
      <c r="P30" s="266">
        <f>(((((1.2+1)*1.3)*1.3)*2)*2)*2</f>
        <v>29.744000000000003</v>
      </c>
      <c r="Q30" s="260">
        <v>400</v>
      </c>
      <c r="R30" s="87">
        <f t="shared" si="3"/>
        <v>1245.3440000000001</v>
      </c>
      <c r="S30" s="266">
        <v>60</v>
      </c>
      <c r="T30" s="266">
        <v>40.56</v>
      </c>
      <c r="U30" s="260">
        <v>80</v>
      </c>
      <c r="V30" s="87">
        <f t="shared" si="4"/>
        <v>180.56</v>
      </c>
      <c r="W30" s="266">
        <v>0</v>
      </c>
      <c r="X30" s="266">
        <v>270.40000000000003</v>
      </c>
      <c r="Y30" s="260">
        <v>20</v>
      </c>
      <c r="Z30" s="87">
        <f t="shared" si="5"/>
        <v>290.40000000000003</v>
      </c>
      <c r="AA30" s="94">
        <f t="shared" si="13"/>
        <v>3514.4319999999998</v>
      </c>
      <c r="AB30" s="96" t="s">
        <v>53</v>
      </c>
      <c r="AC30" s="138"/>
      <c r="AD30" s="146">
        <v>23</v>
      </c>
      <c r="AE30" s="147" t="s">
        <v>26</v>
      </c>
      <c r="AF30" s="141">
        <f t="shared" si="16"/>
        <v>2040.8000000000002</v>
      </c>
      <c r="AG30" s="141">
        <f t="shared" si="17"/>
        <v>528.63200000000006</v>
      </c>
      <c r="AH30" s="141">
        <f t="shared" si="18"/>
        <v>945</v>
      </c>
      <c r="AI30" s="108"/>
      <c r="AJ30" s="148">
        <v>23</v>
      </c>
      <c r="AK30" s="149" t="s">
        <v>26</v>
      </c>
      <c r="AL30" s="144">
        <f t="shared" si="9"/>
        <v>2040.8000000000002</v>
      </c>
      <c r="AM30" s="145">
        <f t="shared" si="10"/>
        <v>0.58069127529000431</v>
      </c>
      <c r="AN30" s="144">
        <f t="shared" si="14"/>
        <v>528.63200000000006</v>
      </c>
      <c r="AO30" s="145">
        <f t="shared" si="11"/>
        <v>0.15041747855699017</v>
      </c>
      <c r="AP30" s="144">
        <f t="shared" si="15"/>
        <v>945</v>
      </c>
      <c r="AQ30" s="145">
        <f t="shared" si="12"/>
        <v>0.26889124615300569</v>
      </c>
    </row>
    <row r="31" spans="1:43" x14ac:dyDescent="0.25">
      <c r="A31" s="156">
        <v>24</v>
      </c>
      <c r="B31" s="157" t="s">
        <v>27</v>
      </c>
      <c r="C31" s="266">
        <v>93.6</v>
      </c>
      <c r="D31" s="266">
        <v>10.816000000000001</v>
      </c>
      <c r="E31" s="260">
        <v>20</v>
      </c>
      <c r="F31" s="87">
        <f t="shared" si="0"/>
        <v>124.416</v>
      </c>
      <c r="G31" s="266">
        <v>420.4</v>
      </c>
      <c r="H31" s="266">
        <v>13.520000000000001</v>
      </c>
      <c r="I31" s="260">
        <v>100</v>
      </c>
      <c r="J31" s="87">
        <f t="shared" si="1"/>
        <v>533.91999999999996</v>
      </c>
      <c r="K31" s="266">
        <v>54</v>
      </c>
      <c r="L31" s="266">
        <v>12.168000000000003</v>
      </c>
      <c r="M31" s="260">
        <v>150</v>
      </c>
      <c r="N31" s="87">
        <f t="shared" si="2"/>
        <v>216.16800000000001</v>
      </c>
      <c r="O31" s="266">
        <v>815.6</v>
      </c>
      <c r="P31" s="266">
        <v>17.576000000000004</v>
      </c>
      <c r="Q31" s="260">
        <v>250</v>
      </c>
      <c r="R31" s="87">
        <f t="shared" si="3"/>
        <v>1083.1759999999999</v>
      </c>
      <c r="S31" s="266">
        <v>40</v>
      </c>
      <c r="T31" s="266">
        <v>40.56</v>
      </c>
      <c r="U31" s="260">
        <v>40</v>
      </c>
      <c r="V31" s="87">
        <f t="shared" si="4"/>
        <v>120.56</v>
      </c>
      <c r="W31" s="266">
        <v>100</v>
      </c>
      <c r="X31" s="266">
        <f>(((((20+1)*1.3)*1.3)*2)*2)*2</f>
        <v>283.92</v>
      </c>
      <c r="Y31" s="260">
        <v>80</v>
      </c>
      <c r="Z31" s="87">
        <f t="shared" si="5"/>
        <v>463.92</v>
      </c>
      <c r="AA31" s="94">
        <f t="shared" si="13"/>
        <v>2542.16</v>
      </c>
      <c r="AB31" s="96" t="s">
        <v>53</v>
      </c>
      <c r="AC31" s="138"/>
      <c r="AD31" s="146">
        <v>24</v>
      </c>
      <c r="AE31" s="147" t="s">
        <v>27</v>
      </c>
      <c r="AF31" s="141">
        <f t="shared" si="16"/>
        <v>1523.6</v>
      </c>
      <c r="AG31" s="141">
        <f t="shared" si="17"/>
        <v>378.56000000000006</v>
      </c>
      <c r="AH31" s="141">
        <f t="shared" si="18"/>
        <v>640</v>
      </c>
      <c r="AI31" s="108"/>
      <c r="AJ31" s="148">
        <v>24</v>
      </c>
      <c r="AK31" s="149" t="s">
        <v>27</v>
      </c>
      <c r="AL31" s="144">
        <f t="shared" si="9"/>
        <v>1523.6</v>
      </c>
      <c r="AM31" s="145">
        <f t="shared" si="10"/>
        <v>0.59933285080404064</v>
      </c>
      <c r="AN31" s="144">
        <f t="shared" si="14"/>
        <v>378.56000000000006</v>
      </c>
      <c r="AO31" s="145">
        <f t="shared" si="11"/>
        <v>0.14891273562639648</v>
      </c>
      <c r="AP31" s="144">
        <f t="shared" si="15"/>
        <v>640</v>
      </c>
      <c r="AQ31" s="145">
        <f t="shared" si="12"/>
        <v>0.25175441356956291</v>
      </c>
    </row>
    <row r="32" spans="1:43" x14ac:dyDescent="0.25">
      <c r="A32" s="156">
        <v>25</v>
      </c>
      <c r="B32" s="157" t="s">
        <v>28</v>
      </c>
      <c r="C32" s="266">
        <v>136.80000000000001</v>
      </c>
      <c r="D32" s="266">
        <f>(((((1.4+1)*1.3)*1.3)*2)*2)*2</f>
        <v>32.448</v>
      </c>
      <c r="E32" s="260">
        <v>30</v>
      </c>
      <c r="F32" s="87">
        <f t="shared" si="0"/>
        <v>199.24800000000002</v>
      </c>
      <c r="G32" s="266">
        <v>215.6</v>
      </c>
      <c r="H32" s="266">
        <f>(((((2.3+1)*1.3)*1.3)*2)*2)*2</f>
        <v>44.616</v>
      </c>
      <c r="I32" s="260">
        <v>82</v>
      </c>
      <c r="J32" s="87">
        <f t="shared" si="1"/>
        <v>342.21600000000001</v>
      </c>
      <c r="K32" s="266">
        <v>291.2</v>
      </c>
      <c r="L32" s="266">
        <v>10.816000000000001</v>
      </c>
      <c r="M32" s="260">
        <v>80</v>
      </c>
      <c r="N32" s="87">
        <f t="shared" si="2"/>
        <v>382.01599999999996</v>
      </c>
      <c r="O32" s="266">
        <v>820</v>
      </c>
      <c r="P32" s="266">
        <f>(((((1.9+1)*1.3)*1.3)*2)*2)*2</f>
        <v>39.207999999999998</v>
      </c>
      <c r="Q32" s="260">
        <v>360</v>
      </c>
      <c r="R32" s="87">
        <f t="shared" si="3"/>
        <v>1219.2080000000001</v>
      </c>
      <c r="S32" s="266">
        <v>80</v>
      </c>
      <c r="T32" s="266">
        <v>13.520000000000001</v>
      </c>
      <c r="U32" s="260">
        <v>40</v>
      </c>
      <c r="V32" s="87">
        <f t="shared" si="4"/>
        <v>133.51999999999998</v>
      </c>
      <c r="W32" s="266">
        <v>0</v>
      </c>
      <c r="X32" s="266">
        <v>0</v>
      </c>
      <c r="Y32" s="260">
        <v>47</v>
      </c>
      <c r="Z32" s="87">
        <f t="shared" si="5"/>
        <v>47</v>
      </c>
      <c r="AA32" s="94">
        <f t="shared" si="13"/>
        <v>2323.2080000000001</v>
      </c>
      <c r="AB32" s="96" t="s">
        <v>53</v>
      </c>
      <c r="AC32" s="138"/>
      <c r="AD32" s="146">
        <v>25</v>
      </c>
      <c r="AE32" s="147" t="s">
        <v>28</v>
      </c>
      <c r="AF32" s="141">
        <f t="shared" si="16"/>
        <v>1543.6</v>
      </c>
      <c r="AG32" s="141">
        <f t="shared" si="17"/>
        <v>140.608</v>
      </c>
      <c r="AH32" s="141">
        <f t="shared" si="18"/>
        <v>639</v>
      </c>
      <c r="AI32" s="108"/>
      <c r="AJ32" s="148">
        <v>25</v>
      </c>
      <c r="AK32" s="149" t="s">
        <v>28</v>
      </c>
      <c r="AL32" s="144">
        <f t="shared" si="9"/>
        <v>1543.6</v>
      </c>
      <c r="AM32" s="145">
        <f t="shared" si="10"/>
        <v>0.66442608668702929</v>
      </c>
      <c r="AN32" s="144">
        <f t="shared" si="14"/>
        <v>140.608</v>
      </c>
      <c r="AO32" s="145">
        <f t="shared" si="11"/>
        <v>6.0523207564712245E-2</v>
      </c>
      <c r="AP32" s="144">
        <f t="shared" si="15"/>
        <v>639</v>
      </c>
      <c r="AQ32" s="145">
        <f t="shared" si="12"/>
        <v>0.27505070574825841</v>
      </c>
    </row>
    <row r="33" spans="1:43" x14ac:dyDescent="0.25">
      <c r="A33" s="156">
        <v>26</v>
      </c>
      <c r="B33" s="157" t="s">
        <v>29</v>
      </c>
      <c r="C33" s="266">
        <v>215.2</v>
      </c>
      <c r="D33" s="266">
        <v>8.1120000000000001</v>
      </c>
      <c r="E33" s="260">
        <v>50</v>
      </c>
      <c r="F33" s="87">
        <f t="shared" si="0"/>
        <v>273.31200000000001</v>
      </c>
      <c r="G33" s="266">
        <v>814</v>
      </c>
      <c r="H33" s="266">
        <v>25.687999999999999</v>
      </c>
      <c r="I33" s="260">
        <v>250</v>
      </c>
      <c r="J33" s="87">
        <f t="shared" si="1"/>
        <v>1089.6880000000001</v>
      </c>
      <c r="K33" s="266">
        <v>172</v>
      </c>
      <c r="L33" s="266">
        <v>32.448</v>
      </c>
      <c r="M33" s="260">
        <v>69</v>
      </c>
      <c r="N33" s="87">
        <f t="shared" si="2"/>
        <v>273.44799999999998</v>
      </c>
      <c r="O33" s="266">
        <v>817.2</v>
      </c>
      <c r="P33" s="266">
        <v>14.872000000000002</v>
      </c>
      <c r="Q33" s="260">
        <v>450</v>
      </c>
      <c r="R33" s="87">
        <f t="shared" si="3"/>
        <v>1282.0720000000001</v>
      </c>
      <c r="S33" s="266">
        <v>120</v>
      </c>
      <c r="T33" s="266">
        <v>40.56</v>
      </c>
      <c r="U33" s="260">
        <v>50</v>
      </c>
      <c r="V33" s="87">
        <f t="shared" si="4"/>
        <v>210.56</v>
      </c>
      <c r="W33" s="266">
        <v>0</v>
      </c>
      <c r="X33" s="266">
        <v>13.520000000000001</v>
      </c>
      <c r="Y33" s="260">
        <v>25</v>
      </c>
      <c r="Z33" s="87">
        <f t="shared" si="5"/>
        <v>38.520000000000003</v>
      </c>
      <c r="AA33" s="94">
        <f t="shared" si="13"/>
        <v>3167.6</v>
      </c>
      <c r="AB33" s="96" t="s">
        <v>53</v>
      </c>
      <c r="AC33" s="138"/>
      <c r="AD33" s="146">
        <v>26</v>
      </c>
      <c r="AE33" s="147" t="s">
        <v>29</v>
      </c>
      <c r="AF33" s="141">
        <f t="shared" si="16"/>
        <v>2138.4</v>
      </c>
      <c r="AG33" s="141">
        <f t="shared" si="17"/>
        <v>135.19999999999999</v>
      </c>
      <c r="AH33" s="141">
        <f t="shared" si="18"/>
        <v>894</v>
      </c>
      <c r="AI33" s="108"/>
      <c r="AJ33" s="148">
        <v>26</v>
      </c>
      <c r="AK33" s="149" t="s">
        <v>29</v>
      </c>
      <c r="AL33" s="144">
        <f t="shared" si="9"/>
        <v>2138.4</v>
      </c>
      <c r="AM33" s="145">
        <f t="shared" si="10"/>
        <v>0.67508523803510545</v>
      </c>
      <c r="AN33" s="144">
        <f t="shared" si="14"/>
        <v>135.19999999999999</v>
      </c>
      <c r="AO33" s="145">
        <f t="shared" si="11"/>
        <v>4.268215683798459E-2</v>
      </c>
      <c r="AP33" s="144">
        <f t="shared" si="15"/>
        <v>894</v>
      </c>
      <c r="AQ33" s="145">
        <f t="shared" si="12"/>
        <v>0.28223260512690995</v>
      </c>
    </row>
    <row r="34" spans="1:43" x14ac:dyDescent="0.25">
      <c r="A34" s="156">
        <v>27</v>
      </c>
      <c r="B34" s="157" t="s">
        <v>30</v>
      </c>
      <c r="C34" s="266">
        <v>40</v>
      </c>
      <c r="D34" s="266">
        <v>67.600000000000009</v>
      </c>
      <c r="E34" s="260">
        <v>10</v>
      </c>
      <c r="F34" s="87">
        <f t="shared" si="0"/>
        <v>117.60000000000001</v>
      </c>
      <c r="G34" s="266">
        <v>160</v>
      </c>
      <c r="H34" s="266">
        <v>13.520000000000001</v>
      </c>
      <c r="I34" s="260">
        <v>30</v>
      </c>
      <c r="J34" s="87">
        <f t="shared" si="1"/>
        <v>203.52</v>
      </c>
      <c r="K34" s="266">
        <v>0</v>
      </c>
      <c r="L34" s="266">
        <v>0</v>
      </c>
      <c r="M34" s="260"/>
      <c r="N34" s="87">
        <f t="shared" si="2"/>
        <v>0</v>
      </c>
      <c r="O34" s="266">
        <v>200</v>
      </c>
      <c r="P34" s="266">
        <v>13.520000000000001</v>
      </c>
      <c r="Q34" s="260">
        <v>150</v>
      </c>
      <c r="R34" s="87">
        <f t="shared" si="3"/>
        <v>363.52</v>
      </c>
      <c r="S34" s="266">
        <v>20</v>
      </c>
      <c r="T34" s="266">
        <v>0</v>
      </c>
      <c r="U34" s="260">
        <v>20</v>
      </c>
      <c r="V34" s="87">
        <f t="shared" si="4"/>
        <v>40</v>
      </c>
      <c r="W34" s="266">
        <v>0</v>
      </c>
      <c r="X34" s="266">
        <v>0</v>
      </c>
      <c r="Y34" s="260">
        <v>21</v>
      </c>
      <c r="Z34" s="87">
        <f t="shared" si="5"/>
        <v>21</v>
      </c>
      <c r="AA34" s="94">
        <f t="shared" si="13"/>
        <v>745.64</v>
      </c>
      <c r="AB34" s="96" t="s">
        <v>53</v>
      </c>
      <c r="AC34" s="138"/>
      <c r="AD34" s="146">
        <v>27</v>
      </c>
      <c r="AE34" s="147" t="s">
        <v>30</v>
      </c>
      <c r="AF34" s="141">
        <f t="shared" si="16"/>
        <v>420</v>
      </c>
      <c r="AG34" s="141">
        <f t="shared" si="17"/>
        <v>94.64</v>
      </c>
      <c r="AH34" s="141">
        <f t="shared" si="18"/>
        <v>231</v>
      </c>
      <c r="AI34" s="108"/>
      <c r="AJ34" s="148">
        <v>27</v>
      </c>
      <c r="AK34" s="149" t="s">
        <v>30</v>
      </c>
      <c r="AL34" s="144">
        <f t="shared" si="9"/>
        <v>420</v>
      </c>
      <c r="AM34" s="145">
        <f t="shared" si="10"/>
        <v>0.5632745024408562</v>
      </c>
      <c r="AN34" s="144">
        <f t="shared" si="14"/>
        <v>94.64</v>
      </c>
      <c r="AO34" s="145">
        <f t="shared" si="11"/>
        <v>0.12692452121667294</v>
      </c>
      <c r="AP34" s="144">
        <f t="shared" si="15"/>
        <v>231</v>
      </c>
      <c r="AQ34" s="145">
        <f t="shared" si="12"/>
        <v>0.30980097634247089</v>
      </c>
    </row>
    <row r="35" spans="1:43" x14ac:dyDescent="0.25">
      <c r="A35" s="156">
        <v>28</v>
      </c>
      <c r="B35" s="157" t="s">
        <v>31</v>
      </c>
      <c r="C35" s="266">
        <v>0</v>
      </c>
      <c r="D35" s="266">
        <v>27.040000000000003</v>
      </c>
      <c r="E35" s="260">
        <f>[1]Juli!O33+[2]Juli!O33+[3]Juli!O33</f>
        <v>0</v>
      </c>
      <c r="F35" s="87">
        <f t="shared" si="0"/>
        <v>27.040000000000003</v>
      </c>
      <c r="G35" s="266">
        <v>0</v>
      </c>
      <c r="H35" s="266">
        <v>0</v>
      </c>
      <c r="I35" s="260">
        <v>0</v>
      </c>
      <c r="J35" s="87">
        <f t="shared" si="1"/>
        <v>0</v>
      </c>
      <c r="K35" s="266">
        <v>0</v>
      </c>
      <c r="L35" s="266">
        <v>0</v>
      </c>
      <c r="M35" s="260"/>
      <c r="N35" s="87">
        <f t="shared" si="2"/>
        <v>0</v>
      </c>
      <c r="O35" s="266">
        <v>0</v>
      </c>
      <c r="P35" s="266">
        <v>0</v>
      </c>
      <c r="Q35" s="260">
        <v>0</v>
      </c>
      <c r="R35" s="87">
        <f t="shared" si="3"/>
        <v>0</v>
      </c>
      <c r="S35" s="266">
        <v>0</v>
      </c>
      <c r="T35" s="266">
        <v>0</v>
      </c>
      <c r="U35" s="260"/>
      <c r="V35" s="87">
        <f t="shared" si="4"/>
        <v>0</v>
      </c>
      <c r="W35" s="266">
        <v>0</v>
      </c>
      <c r="X35" s="266">
        <v>0</v>
      </c>
      <c r="Y35" s="260">
        <v>0</v>
      </c>
      <c r="Z35" s="87">
        <f t="shared" si="5"/>
        <v>0</v>
      </c>
      <c r="AA35" s="94">
        <f t="shared" si="13"/>
        <v>27.040000000000003</v>
      </c>
      <c r="AB35" s="96" t="s">
        <v>53</v>
      </c>
      <c r="AC35" s="138"/>
      <c r="AD35" s="146">
        <v>28</v>
      </c>
      <c r="AE35" s="147" t="s">
        <v>31</v>
      </c>
      <c r="AF35" s="141">
        <f t="shared" si="16"/>
        <v>0</v>
      </c>
      <c r="AG35" s="141">
        <f t="shared" si="17"/>
        <v>27.040000000000003</v>
      </c>
      <c r="AH35" s="141">
        <f t="shared" si="18"/>
        <v>0</v>
      </c>
      <c r="AI35" s="108"/>
      <c r="AJ35" s="148">
        <v>28</v>
      </c>
      <c r="AK35" s="149" t="s">
        <v>31</v>
      </c>
      <c r="AL35" s="144">
        <f t="shared" si="9"/>
        <v>0</v>
      </c>
      <c r="AM35" s="145">
        <f t="shared" si="10"/>
        <v>0</v>
      </c>
      <c r="AN35" s="144">
        <f t="shared" si="14"/>
        <v>27.040000000000003</v>
      </c>
      <c r="AO35" s="145">
        <f t="shared" si="11"/>
        <v>1</v>
      </c>
      <c r="AP35" s="144">
        <f t="shared" si="15"/>
        <v>0</v>
      </c>
      <c r="AQ35" s="145">
        <f t="shared" si="12"/>
        <v>0</v>
      </c>
    </row>
    <row r="36" spans="1:43" x14ac:dyDescent="0.25">
      <c r="A36" s="156">
        <v>29</v>
      </c>
      <c r="B36" s="157" t="s">
        <v>32</v>
      </c>
      <c r="C36" s="266">
        <v>179.6</v>
      </c>
      <c r="D36" s="266">
        <v>9.4639999999999986</v>
      </c>
      <c r="E36" s="260">
        <v>50</v>
      </c>
      <c r="F36" s="87">
        <f t="shared" si="0"/>
        <v>239.06399999999999</v>
      </c>
      <c r="G36" s="266">
        <v>1018.4</v>
      </c>
      <c r="H36" s="266">
        <f>(((((0.8+1)*1.3)*1.3)*2)*2)*2</f>
        <v>24.336000000000006</v>
      </c>
      <c r="I36" s="260">
        <v>300</v>
      </c>
      <c r="J36" s="87">
        <f t="shared" si="1"/>
        <v>1342.7359999999999</v>
      </c>
      <c r="K36" s="266">
        <v>251.6</v>
      </c>
      <c r="L36" s="266">
        <v>18.927999999999997</v>
      </c>
      <c r="M36" s="260">
        <v>60</v>
      </c>
      <c r="N36" s="87">
        <f t="shared" si="2"/>
        <v>330.52800000000002</v>
      </c>
      <c r="O36" s="266">
        <v>1216.4000000000001</v>
      </c>
      <c r="P36" s="266">
        <v>35.152000000000008</v>
      </c>
      <c r="Q36" s="260">
        <v>1000</v>
      </c>
      <c r="R36" s="87">
        <f t="shared" si="3"/>
        <v>2251.5520000000001</v>
      </c>
      <c r="S36" s="266">
        <v>160</v>
      </c>
      <c r="T36" s="266">
        <v>40.56</v>
      </c>
      <c r="U36" s="260">
        <v>60</v>
      </c>
      <c r="V36" s="87">
        <f t="shared" si="4"/>
        <v>260.56</v>
      </c>
      <c r="W36" s="266">
        <v>20</v>
      </c>
      <c r="X36" s="266">
        <f>(((((20+1)*1.3)*1.3)*2)*2)*2</f>
        <v>283.92</v>
      </c>
      <c r="Y36" s="260">
        <v>20</v>
      </c>
      <c r="Z36" s="87">
        <f t="shared" si="5"/>
        <v>323.92</v>
      </c>
      <c r="AA36" s="94">
        <f t="shared" si="13"/>
        <v>4748.3600000000006</v>
      </c>
      <c r="AB36" s="96" t="s">
        <v>53</v>
      </c>
      <c r="AC36" s="138"/>
      <c r="AD36" s="146">
        <v>29</v>
      </c>
      <c r="AE36" s="147" t="s">
        <v>32</v>
      </c>
      <c r="AF36" s="141">
        <f t="shared" si="16"/>
        <v>2846</v>
      </c>
      <c r="AG36" s="141">
        <f t="shared" si="17"/>
        <v>412.36</v>
      </c>
      <c r="AH36" s="141">
        <f t="shared" si="18"/>
        <v>1490</v>
      </c>
      <c r="AI36" s="108"/>
      <c r="AJ36" s="148">
        <v>29</v>
      </c>
      <c r="AK36" s="149" t="s">
        <v>32</v>
      </c>
      <c r="AL36" s="144">
        <f t="shared" si="9"/>
        <v>2846</v>
      </c>
      <c r="AM36" s="145">
        <f t="shared" si="10"/>
        <v>0.59936483333192925</v>
      </c>
      <c r="AN36" s="144">
        <f t="shared" si="14"/>
        <v>412.36</v>
      </c>
      <c r="AO36" s="145">
        <f t="shared" si="11"/>
        <v>8.6842615134488529E-2</v>
      </c>
      <c r="AP36" s="144">
        <f t="shared" si="15"/>
        <v>1490</v>
      </c>
      <c r="AQ36" s="145">
        <f t="shared" si="12"/>
        <v>0.3137925515335821</v>
      </c>
    </row>
    <row r="37" spans="1:43" x14ac:dyDescent="0.25">
      <c r="A37" s="156">
        <v>30</v>
      </c>
      <c r="B37" s="157" t="s">
        <v>33</v>
      </c>
      <c r="C37" s="266">
        <v>134.80000000000001</v>
      </c>
      <c r="D37" s="266">
        <v>27.040000000000003</v>
      </c>
      <c r="E37" s="260">
        <v>40</v>
      </c>
      <c r="F37" s="87">
        <f t="shared" si="0"/>
        <v>201.84</v>
      </c>
      <c r="G37" s="266">
        <v>821.2</v>
      </c>
      <c r="H37" s="266">
        <v>10.816000000000001</v>
      </c>
      <c r="I37" s="260">
        <v>290</v>
      </c>
      <c r="J37" s="87">
        <f t="shared" si="1"/>
        <v>1122.0160000000001</v>
      </c>
      <c r="K37" s="266">
        <v>415.2</v>
      </c>
      <c r="L37" s="266">
        <v>16.224</v>
      </c>
      <c r="M37" s="260">
        <v>100</v>
      </c>
      <c r="N37" s="87">
        <f t="shared" si="2"/>
        <v>531.42399999999998</v>
      </c>
      <c r="O37" s="266">
        <v>1212</v>
      </c>
      <c r="P37" s="266">
        <f>(((((0.8+1)*1.3)*1.3)*2)*2)*2</f>
        <v>24.336000000000006</v>
      </c>
      <c r="Q37" s="260">
        <v>500</v>
      </c>
      <c r="R37" s="87">
        <f t="shared" si="3"/>
        <v>1736.336</v>
      </c>
      <c r="S37" s="266">
        <v>40</v>
      </c>
      <c r="T37" s="266">
        <v>27.040000000000003</v>
      </c>
      <c r="U37" s="260">
        <v>50</v>
      </c>
      <c r="V37" s="87">
        <f t="shared" si="4"/>
        <v>117.04</v>
      </c>
      <c r="W37" s="266">
        <v>20</v>
      </c>
      <c r="X37" s="266">
        <v>270.40000000000003</v>
      </c>
      <c r="Y37" s="260">
        <v>20</v>
      </c>
      <c r="Z37" s="87">
        <f t="shared" si="5"/>
        <v>310.40000000000003</v>
      </c>
      <c r="AA37" s="94">
        <f t="shared" si="13"/>
        <v>4019.056</v>
      </c>
      <c r="AB37" s="96" t="s">
        <v>53</v>
      </c>
      <c r="AC37" s="138"/>
      <c r="AD37" s="146">
        <v>30</v>
      </c>
      <c r="AE37" s="147" t="s">
        <v>33</v>
      </c>
      <c r="AF37" s="141">
        <f t="shared" si="16"/>
        <v>2643.2</v>
      </c>
      <c r="AG37" s="141">
        <f t="shared" si="17"/>
        <v>375.85600000000005</v>
      </c>
      <c r="AH37" s="141">
        <f t="shared" si="18"/>
        <v>1000</v>
      </c>
      <c r="AI37" s="108"/>
      <c r="AJ37" s="148">
        <v>30</v>
      </c>
      <c r="AK37" s="149" t="s">
        <v>33</v>
      </c>
      <c r="AL37" s="144">
        <f t="shared" si="9"/>
        <v>2643.2</v>
      </c>
      <c r="AM37" s="145">
        <f t="shared" si="10"/>
        <v>0.65766687500746435</v>
      </c>
      <c r="AN37" s="144">
        <f t="shared" si="14"/>
        <v>375.85600000000005</v>
      </c>
      <c r="AO37" s="145">
        <f t="shared" si="11"/>
        <v>9.3518477970946423E-2</v>
      </c>
      <c r="AP37" s="144">
        <f t="shared" si="15"/>
        <v>1000</v>
      </c>
      <c r="AQ37" s="145">
        <f t="shared" si="12"/>
        <v>0.24881464702158915</v>
      </c>
    </row>
    <row r="38" spans="1:43" ht="15.75" thickBot="1" x14ac:dyDescent="0.3">
      <c r="A38" s="158">
        <v>31</v>
      </c>
      <c r="B38" s="159" t="s">
        <v>34</v>
      </c>
      <c r="C38" s="266">
        <v>135.19999999999999</v>
      </c>
      <c r="D38" s="266">
        <f>(((((1.2+1)*1.3)*1.3)*2)*2)*2</f>
        <v>29.744000000000003</v>
      </c>
      <c r="E38" s="262">
        <v>50</v>
      </c>
      <c r="F38" s="88">
        <f t="shared" si="0"/>
        <v>214.94399999999999</v>
      </c>
      <c r="G38" s="266">
        <v>1219.5999999999999</v>
      </c>
      <c r="H38" s="266">
        <v>8.1120000000000001</v>
      </c>
      <c r="I38" s="262">
        <v>360</v>
      </c>
      <c r="J38" s="88">
        <f t="shared" si="1"/>
        <v>1587.712</v>
      </c>
      <c r="K38" s="266">
        <v>16.8</v>
      </c>
      <c r="L38" s="266">
        <v>10.816000000000001</v>
      </c>
      <c r="M38" s="262"/>
      <c r="N38" s="88">
        <f t="shared" si="2"/>
        <v>27.616</v>
      </c>
      <c r="O38" s="266">
        <v>338.8</v>
      </c>
      <c r="P38" s="266">
        <v>22.984000000000002</v>
      </c>
      <c r="Q38" s="262">
        <v>1000</v>
      </c>
      <c r="R38" s="88">
        <f t="shared" si="3"/>
        <v>1361.7840000000001</v>
      </c>
      <c r="S38" s="266">
        <v>80</v>
      </c>
      <c r="T38" s="266">
        <v>54.080000000000005</v>
      </c>
      <c r="U38" s="262">
        <v>80</v>
      </c>
      <c r="V38" s="88">
        <f t="shared" si="4"/>
        <v>214.08</v>
      </c>
      <c r="W38" s="266">
        <v>0</v>
      </c>
      <c r="X38" s="266">
        <v>270.40000000000003</v>
      </c>
      <c r="Y38" s="262">
        <v>20</v>
      </c>
      <c r="Z38" s="88">
        <f t="shared" si="5"/>
        <v>290.40000000000003</v>
      </c>
      <c r="AA38" s="94">
        <f t="shared" si="13"/>
        <v>3696.5360000000001</v>
      </c>
      <c r="AB38" s="97" t="s">
        <v>53</v>
      </c>
      <c r="AC38" s="138"/>
      <c r="AD38" s="150">
        <v>31</v>
      </c>
      <c r="AE38" s="151" t="s">
        <v>34</v>
      </c>
      <c r="AF38" s="141">
        <f t="shared" si="16"/>
        <v>1790.3999999999999</v>
      </c>
      <c r="AG38" s="141">
        <f t="shared" si="17"/>
        <v>396.13600000000008</v>
      </c>
      <c r="AH38" s="141">
        <f t="shared" si="18"/>
        <v>1510</v>
      </c>
      <c r="AI38" s="108"/>
      <c r="AJ38" s="148">
        <v>31</v>
      </c>
      <c r="AK38" s="149" t="s">
        <v>34</v>
      </c>
      <c r="AL38" s="152">
        <f t="shared" si="9"/>
        <v>1790.3999999999999</v>
      </c>
      <c r="AM38" s="153">
        <f t="shared" si="10"/>
        <v>0.48434534385705963</v>
      </c>
      <c r="AN38" s="144">
        <f t="shared" si="14"/>
        <v>396.13600000000008</v>
      </c>
      <c r="AO38" s="145">
        <f t="shared" si="11"/>
        <v>0.10716411256376242</v>
      </c>
      <c r="AP38" s="144">
        <f t="shared" si="15"/>
        <v>1510</v>
      </c>
      <c r="AQ38" s="145">
        <f t="shared" si="12"/>
        <v>0.40849054357917791</v>
      </c>
    </row>
    <row r="39" spans="1:43" ht="33.75" customHeight="1" thickBot="1" x14ac:dyDescent="0.3">
      <c r="A39" s="308" t="s">
        <v>58</v>
      </c>
      <c r="B39" s="309"/>
      <c r="C39" s="99">
        <f t="shared" ref="C39:H39" si="19">SUM(C8:C38)</f>
        <v>4518.0000000000009</v>
      </c>
      <c r="D39" s="100">
        <f t="shared" si="19"/>
        <v>1032.9280000000001</v>
      </c>
      <c r="E39" s="100">
        <f t="shared" si="19"/>
        <v>1395</v>
      </c>
      <c r="F39" s="219">
        <f>SUM(F8:F38)</f>
        <v>6945.9280000000008</v>
      </c>
      <c r="G39" s="101">
        <f t="shared" si="19"/>
        <v>20472.000000000004</v>
      </c>
      <c r="H39" s="102">
        <f t="shared" si="19"/>
        <v>980.19999999999993</v>
      </c>
      <c r="I39" s="102">
        <f t="shared" ref="I39" si="20">SUM(I8:I38)</f>
        <v>6012</v>
      </c>
      <c r="J39" s="219">
        <f>SUM(J8:J38)</f>
        <v>27464.2</v>
      </c>
      <c r="K39" s="101">
        <f>SUM(K8:K38)</f>
        <v>5006.8</v>
      </c>
      <c r="L39" s="102">
        <f>SUM(L8:L38)</f>
        <v>567.84000000000015</v>
      </c>
      <c r="M39" s="102">
        <f t="shared" ref="M39" si="21">SUM(M8:M38)</f>
        <v>1829</v>
      </c>
      <c r="N39" s="219">
        <f>SUM(N8:N38)</f>
        <v>7403.6399999999994</v>
      </c>
      <c r="O39" s="101">
        <f>SUM(O8:O38)</f>
        <v>26507.599999999999</v>
      </c>
      <c r="P39" s="102">
        <f>SUM(P8:P38)</f>
        <v>919.3599999999999</v>
      </c>
      <c r="Q39" s="102">
        <f t="shared" ref="Q39" si="22">SUM(Q8:Q38)</f>
        <v>14560</v>
      </c>
      <c r="R39" s="219">
        <f>SUM(R8:R38)</f>
        <v>41986.960000000006</v>
      </c>
      <c r="S39" s="101">
        <f>SUM(S8:S38)</f>
        <v>2240</v>
      </c>
      <c r="T39" s="102">
        <f>SUM(T8:T38)</f>
        <v>1027.5199999999995</v>
      </c>
      <c r="U39" s="102">
        <f t="shared" ref="U39" si="23">SUM(U8:U38)</f>
        <v>1740</v>
      </c>
      <c r="V39" s="219">
        <f>SUM(V8:V38)</f>
        <v>5007.5199999999995</v>
      </c>
      <c r="W39" s="101">
        <f>SUM(W8:W38)</f>
        <v>720</v>
      </c>
      <c r="X39" s="102">
        <f>SUM(X8:X38)</f>
        <v>5827.12</v>
      </c>
      <c r="Y39" s="102">
        <f t="shared" ref="Y39" si="24">SUM(Y8:Y38)</f>
        <v>1434</v>
      </c>
      <c r="Z39" s="219">
        <f>SUM(Z8:Z38)</f>
        <v>7981.12</v>
      </c>
      <c r="AA39" s="220">
        <f>SUM(AA8:AA38)</f>
        <v>96789.367999999988</v>
      </c>
      <c r="AB39" s="221" t="s">
        <v>51</v>
      </c>
      <c r="AC39" s="103"/>
      <c r="AD39" s="104" t="s">
        <v>96</v>
      </c>
      <c r="AE39" s="105"/>
      <c r="AF39" s="106">
        <f>SUM(AF8:AF38)</f>
        <v>59464.4</v>
      </c>
      <c r="AG39" s="106">
        <f>SUM(AG8:AG38)</f>
        <v>10354.968000000003</v>
      </c>
      <c r="AH39" s="107">
        <f>SUM(AH8:AH38)</f>
        <v>26970</v>
      </c>
      <c r="AI39" s="108"/>
      <c r="AJ39" s="109" t="s">
        <v>94</v>
      </c>
      <c r="AK39" s="110"/>
      <c r="AL39" s="111">
        <f>SUM(AL8:AL38)</f>
        <v>59464.4</v>
      </c>
      <c r="AM39" s="112" t="s">
        <v>64</v>
      </c>
      <c r="AN39" s="111">
        <f>SUM(AN8:AN38)</f>
        <v>10354.968000000003</v>
      </c>
      <c r="AO39" s="113" t="s">
        <v>64</v>
      </c>
      <c r="AP39" s="111">
        <f>SUM(AP8:AP38)</f>
        <v>26970</v>
      </c>
      <c r="AQ39" s="113" t="s">
        <v>64</v>
      </c>
    </row>
    <row r="40" spans="1:43" ht="33.75" customHeight="1" thickBot="1" x14ac:dyDescent="0.3">
      <c r="A40" s="308" t="s">
        <v>59</v>
      </c>
      <c r="B40" s="309"/>
      <c r="C40" s="114">
        <f>C39/1000</f>
        <v>4.5180000000000007</v>
      </c>
      <c r="D40" s="115">
        <f t="shared" ref="D40" si="25">D39/1000</f>
        <v>1.0329280000000001</v>
      </c>
      <c r="E40" s="115">
        <f t="shared" ref="E40" si="26">E39/1000</f>
        <v>1.395</v>
      </c>
      <c r="F40" s="222">
        <f>F39/1000</f>
        <v>6.9459280000000012</v>
      </c>
      <c r="G40" s="116">
        <f>G39/1000</f>
        <v>20.472000000000005</v>
      </c>
      <c r="H40" s="117">
        <f t="shared" ref="H40" si="27">H39/1000</f>
        <v>0.98019999999999996</v>
      </c>
      <c r="I40" s="117">
        <f t="shared" ref="I40" si="28">I39/1000</f>
        <v>6.0119999999999996</v>
      </c>
      <c r="J40" s="222">
        <f>J39/1000</f>
        <v>27.464200000000002</v>
      </c>
      <c r="K40" s="116">
        <f>K39/1000</f>
        <v>5.0068000000000001</v>
      </c>
      <c r="L40" s="117">
        <f t="shared" ref="L40" si="29">L39/1000</f>
        <v>0.56784000000000012</v>
      </c>
      <c r="M40" s="117">
        <f t="shared" ref="M40" si="30">M39/1000</f>
        <v>1.829</v>
      </c>
      <c r="N40" s="222">
        <f>N39/1000</f>
        <v>7.4036399999999993</v>
      </c>
      <c r="O40" s="116">
        <f>O39/1000</f>
        <v>26.5076</v>
      </c>
      <c r="P40" s="117">
        <f t="shared" ref="P40" si="31">P39/1000</f>
        <v>0.91935999999999996</v>
      </c>
      <c r="Q40" s="117">
        <f t="shared" ref="Q40" si="32">Q39/1000</f>
        <v>14.56</v>
      </c>
      <c r="R40" s="222">
        <f>R39/1000</f>
        <v>41.986960000000003</v>
      </c>
      <c r="S40" s="116">
        <f>S39/1000</f>
        <v>2.2400000000000002</v>
      </c>
      <c r="T40" s="117">
        <f t="shared" ref="T40" si="33">T39/1000</f>
        <v>1.0275199999999995</v>
      </c>
      <c r="U40" s="117">
        <f>U39/1000</f>
        <v>1.74</v>
      </c>
      <c r="V40" s="222">
        <f>V39/1000</f>
        <v>5.0075199999999995</v>
      </c>
      <c r="W40" s="116">
        <f>W39/1000</f>
        <v>0.72</v>
      </c>
      <c r="X40" s="117">
        <f t="shared" ref="X40" si="34">X39/1000</f>
        <v>5.8271199999999999</v>
      </c>
      <c r="Y40" s="117">
        <f t="shared" ref="Y40" si="35">Y39/1000</f>
        <v>1.4339999999999999</v>
      </c>
      <c r="Z40" s="222">
        <f>Z39/1000</f>
        <v>7.9811199999999998</v>
      </c>
      <c r="AA40" s="223">
        <f>AA39/1000</f>
        <v>96.789367999999982</v>
      </c>
      <c r="AB40" s="224" t="s">
        <v>52</v>
      </c>
      <c r="AC40" s="103"/>
      <c r="AD40" s="118" t="s">
        <v>97</v>
      </c>
      <c r="AE40" s="119"/>
      <c r="AF40" s="120">
        <f>AF39/1000</f>
        <v>59.464400000000005</v>
      </c>
      <c r="AG40" s="120">
        <f t="shared" ref="AG40:AH40" si="36">AG39/1000</f>
        <v>10.354968000000003</v>
      </c>
      <c r="AH40" s="121">
        <f t="shared" si="36"/>
        <v>26.97</v>
      </c>
      <c r="AI40" s="108"/>
      <c r="AJ40" s="109" t="s">
        <v>95</v>
      </c>
      <c r="AK40" s="110"/>
      <c r="AL40" s="122">
        <f>AL39/1000</f>
        <v>59.464400000000005</v>
      </c>
      <c r="AM40" s="123">
        <f>AL40/AA40</f>
        <v>0.61436913194845966</v>
      </c>
      <c r="AN40" s="122">
        <f>AN39/1000</f>
        <v>10.354968000000003</v>
      </c>
      <c r="AO40" s="124">
        <f>AN40/AA40</f>
        <v>0.10698456053561591</v>
      </c>
      <c r="AP40" s="122">
        <f>AP39/1000</f>
        <v>26.97</v>
      </c>
      <c r="AQ40" s="124">
        <f>AP40/AA40</f>
        <v>0.27864630751592473</v>
      </c>
    </row>
    <row r="41" spans="1:43" ht="33.75" customHeight="1" thickBot="1" x14ac:dyDescent="0.3">
      <c r="A41" s="308" t="s">
        <v>74</v>
      </c>
      <c r="B41" s="309"/>
      <c r="C41" s="114">
        <f>_xlfn.AGGREGATE(1,7,C8:C38)</f>
        <v>145.741935483871</v>
      </c>
      <c r="D41" s="114">
        <f>_xlfn.AGGREGATE(1,7,D8:D38)</f>
        <v>33.320258064516132</v>
      </c>
      <c r="E41" s="114">
        <f>_xlfn.AGGREGATE(1,7,E8:E38)</f>
        <v>45</v>
      </c>
      <c r="F41" s="222">
        <f>AVERAGEIF(F8:F38,"&gt;0")</f>
        <v>239.51475862068969</v>
      </c>
      <c r="G41" s="114">
        <f>_xlfn.AGGREGATE(1,7,G8:G38)</f>
        <v>660.38709677419365</v>
      </c>
      <c r="H41" s="114">
        <f>_xlfn.AGGREGATE(1,7,H8:H38)</f>
        <v>31.619354838709675</v>
      </c>
      <c r="I41" s="114">
        <f>_xlfn.AGGREGATE(1,7,I8:I38)</f>
        <v>193.93548387096774</v>
      </c>
      <c r="J41" s="222">
        <f>AVERAGEIF(J8:J38,"&gt;0")</f>
        <v>980.86428571428576</v>
      </c>
      <c r="K41" s="114">
        <f>_xlfn.AGGREGATE(1,7,K8:K38)</f>
        <v>161.50967741935486</v>
      </c>
      <c r="L41" s="114">
        <f>_xlfn.AGGREGATE(1,7,L8:L38)</f>
        <v>18.317419354838716</v>
      </c>
      <c r="M41" s="114">
        <f>_xlfn.AGGREGATE(1,7,M8:M38)</f>
        <v>101.61111111111111</v>
      </c>
      <c r="N41" s="222">
        <f>AVERAGEIF(N8:N38,"&gt;0")</f>
        <v>321.89739130434782</v>
      </c>
      <c r="O41" s="114">
        <f>_xlfn.AGGREGATE(1,7,O8:O38)</f>
        <v>855.08387096774186</v>
      </c>
      <c r="P41" s="114">
        <f>_xlfn.AGGREGATE(1,7,P8:P38)</f>
        <v>29.656774193548383</v>
      </c>
      <c r="Q41" s="114">
        <f>_xlfn.AGGREGATE(1,7,Q8:Q38)</f>
        <v>469.67741935483872</v>
      </c>
      <c r="R41" s="222">
        <f>AVERAGEIF(R8:R38,"&gt;0")</f>
        <v>1555.0725925925929</v>
      </c>
      <c r="S41" s="114">
        <f>_xlfn.AGGREGATE(1,7,S8:S38)</f>
        <v>72.258064516129039</v>
      </c>
      <c r="T41" s="114">
        <f>_xlfn.AGGREGATE(1,7,T8:T38)</f>
        <v>33.145806451612891</v>
      </c>
      <c r="U41" s="114">
        <f>_xlfn.AGGREGATE(1,7,U8:U38)</f>
        <v>64.444444444444443</v>
      </c>
      <c r="V41" s="222">
        <f>AVERAGEIF(V8:V38,"&gt;0")</f>
        <v>185.46370370370369</v>
      </c>
      <c r="W41" s="114">
        <f>_xlfn.AGGREGATE(1,7,W8:W38)</f>
        <v>23.225806451612904</v>
      </c>
      <c r="X41" s="114">
        <f>_xlfn.AGGREGATE(1,7,X8:X38)</f>
        <v>187.9716129032258</v>
      </c>
      <c r="Y41" s="114">
        <f>_xlfn.AGGREGATE(1,7,Y8:Y38)</f>
        <v>46.258064516129032</v>
      </c>
      <c r="Z41" s="222">
        <f>AVERAGEIF(Z8:Z38,"&gt;0")</f>
        <v>295.59703703703701</v>
      </c>
      <c r="AA41" s="223">
        <f>AVERAGEIF(AA8:AA38,"&gt;0")</f>
        <v>3337.5644137931031</v>
      </c>
      <c r="AB41" s="225" t="s">
        <v>75</v>
      </c>
      <c r="AC41" s="103"/>
      <c r="AD41" s="118" t="s">
        <v>98</v>
      </c>
      <c r="AE41" s="119"/>
      <c r="AF41" s="125">
        <f>AVERAGEIF(AF8:AF38,"&gt;0")</f>
        <v>2202.385185185185</v>
      </c>
      <c r="AG41" s="125">
        <f>AVERAGEIF(AG8:AG38,"&gt;0")</f>
        <v>369.82028571428583</v>
      </c>
      <c r="AH41" s="125">
        <f>AVERAGEIF(AH8:AH38,"&gt;0")</f>
        <v>998.88888888888891</v>
      </c>
      <c r="AI41" s="108"/>
      <c r="AJ41" s="109" t="s">
        <v>99</v>
      </c>
      <c r="AK41" s="110"/>
      <c r="AL41" s="125">
        <f>AVERAGEIF(AL8:AL38,"&gt;0")</f>
        <v>2202.385185185185</v>
      </c>
      <c r="AM41" s="126" t="s">
        <v>64</v>
      </c>
      <c r="AN41" s="125">
        <f>AVERAGEIF(AN8:AN38,"&gt;0")</f>
        <v>369.82028571428583</v>
      </c>
      <c r="AO41" s="124" t="s">
        <v>64</v>
      </c>
      <c r="AP41" s="125">
        <f>AVERAGEIF(AP8:AP38,"&gt;0")</f>
        <v>998.88888888888891</v>
      </c>
      <c r="AQ41" s="124" t="s">
        <v>64</v>
      </c>
    </row>
    <row r="42" spans="1:43" x14ac:dyDescent="0.25">
      <c r="A42" s="127"/>
    </row>
    <row r="43" spans="1:43" x14ac:dyDescent="0.25">
      <c r="J43" s="89" t="s">
        <v>61</v>
      </c>
    </row>
    <row r="45" spans="1:43" x14ac:dyDescent="0.25">
      <c r="A45" s="128" t="s">
        <v>61</v>
      </c>
      <c r="C45" s="130" t="s">
        <v>50</v>
      </c>
      <c r="D45" s="131"/>
    </row>
    <row r="46" spans="1:43" x14ac:dyDescent="0.25">
      <c r="C46" s="132"/>
      <c r="D46" s="131" t="s">
        <v>133</v>
      </c>
    </row>
    <row r="47" spans="1:43" x14ac:dyDescent="0.25">
      <c r="C47" s="133"/>
      <c r="D47" s="131" t="s">
        <v>100</v>
      </c>
    </row>
    <row r="48" spans="1:43" x14ac:dyDescent="0.25">
      <c r="C48" s="134"/>
      <c r="D48" s="131" t="s">
        <v>100</v>
      </c>
    </row>
    <row r="49" spans="3:5" x14ac:dyDescent="0.25">
      <c r="C49" s="135"/>
      <c r="D49" s="131" t="s">
        <v>100</v>
      </c>
    </row>
    <row r="50" spans="3:5" x14ac:dyDescent="0.25">
      <c r="C50" s="136"/>
      <c r="D50" s="131" t="s">
        <v>100</v>
      </c>
    </row>
    <row r="51" spans="3:5" x14ac:dyDescent="0.25">
      <c r="C51" s="137"/>
      <c r="D51" s="131" t="s">
        <v>100</v>
      </c>
    </row>
    <row r="52" spans="3:5" x14ac:dyDescent="0.25">
      <c r="E52" s="129" t="s">
        <v>61</v>
      </c>
    </row>
  </sheetData>
  <sheetProtection algorithmName="SHA-512" hashValue="JRvoHKXdfdtxw9cilJVhNXAzzFF6yvHbpBZn+CMUpLEj2fNMZoP+4y0AxaCsFHfX7KWdq6Ao6qwASfpTfoUEXw==" saltValue="nxOFF8g+1ZPCefuuJTZ/GQ==" spinCount="100000" sheet="1" objects="1" scenarios="1" formatColumns="0" formatRows="0"/>
  <mergeCells count="14">
    <mergeCell ref="A41:B41"/>
    <mergeCell ref="W6:Y6"/>
    <mergeCell ref="A4:A7"/>
    <mergeCell ref="B4:B7"/>
    <mergeCell ref="A39:B39"/>
    <mergeCell ref="A40:B40"/>
    <mergeCell ref="AJ6:AQ6"/>
    <mergeCell ref="AA3:AA7"/>
    <mergeCell ref="AB3:AB7"/>
    <mergeCell ref="C6:E6"/>
    <mergeCell ref="G6:I6"/>
    <mergeCell ref="K6:M6"/>
    <mergeCell ref="O6:Q6"/>
    <mergeCell ref="S6:U6"/>
  </mergeCells>
  <printOptions horizontalCentered="1"/>
  <pageMargins left="0.19685039370078741" right="0.19685039370078741" top="0.39370078740157483" bottom="0.39370078740157483" header="0.11811023622047245" footer="0.11811023622047245"/>
  <pageSetup paperSize="9" scale="58" orientation="landscape" r:id="rId1"/>
  <colBreaks count="1" manualBreakCount="1">
    <brk id="28" max="41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1D345-4A0F-4E81-8A0D-3E1E1353BFC4}">
  <sheetPr>
    <tabColor rgb="FFFFFF00"/>
    <pageSetUpPr fitToPage="1"/>
  </sheetPr>
  <dimension ref="A1:AQ51"/>
  <sheetViews>
    <sheetView showGridLines="0" view="pageBreakPreview" zoomScale="78" zoomScaleNormal="83" zoomScaleSheetLayoutView="90" workbookViewId="0">
      <pane xSplit="2" ySplit="7" topLeftCell="C8" activePane="bottomRight" state="frozen"/>
      <selection activeCell="H31" sqref="H31"/>
      <selection pane="topRight" activeCell="H31" sqref="H31"/>
      <selection pane="bottomLeft" activeCell="H31" sqref="H31"/>
      <selection pane="bottomRight" activeCell="X8" activeCellId="5" sqref="D8:D37 H8:H37 L8:L37 P8:P37 T8:T37 X8:X33"/>
    </sheetView>
  </sheetViews>
  <sheetFormatPr defaultColWidth="9.140625" defaultRowHeight="15" x14ac:dyDescent="0.25"/>
  <cols>
    <col min="1" max="1" width="11.42578125" style="128" customWidth="1"/>
    <col min="2" max="2" width="7.28515625" style="128" customWidth="1"/>
    <col min="3" max="3" width="9.140625" style="129" customWidth="1"/>
    <col min="4" max="4" width="6.5703125" style="129" customWidth="1"/>
    <col min="5" max="5" width="8.42578125" style="129" customWidth="1"/>
    <col min="6" max="6" width="7.85546875" style="89" customWidth="1"/>
    <col min="7" max="7" width="8.140625" style="129" customWidth="1"/>
    <col min="8" max="8" width="6.5703125" style="129" customWidth="1"/>
    <col min="9" max="9" width="7.5703125" style="129" customWidth="1"/>
    <col min="10" max="10" width="9.28515625" style="89" customWidth="1"/>
    <col min="11" max="11" width="7.5703125" style="129" customWidth="1"/>
    <col min="12" max="12" width="6.5703125" style="129" customWidth="1"/>
    <col min="13" max="13" width="7.7109375" style="129" customWidth="1"/>
    <col min="14" max="14" width="7.5703125" style="89" customWidth="1"/>
    <col min="15" max="15" width="7.5703125" style="129" customWidth="1"/>
    <col min="16" max="16" width="6.7109375" style="129" customWidth="1"/>
    <col min="17" max="17" width="8.5703125" style="129" customWidth="1"/>
    <col min="18" max="18" width="8.85546875" style="89" customWidth="1"/>
    <col min="19" max="20" width="6.5703125" style="129" customWidth="1"/>
    <col min="21" max="21" width="7.85546875" style="129" customWidth="1"/>
    <col min="22" max="22" width="8" style="89" customWidth="1"/>
    <col min="23" max="24" width="6.5703125" style="129" customWidth="1"/>
    <col min="25" max="25" width="7.85546875" style="129" customWidth="1"/>
    <col min="26" max="26" width="8.42578125" style="89" customWidth="1"/>
    <col min="27" max="27" width="10.42578125" style="91" customWidth="1"/>
    <col min="28" max="28" width="12.28515625" style="98" customWidth="1"/>
    <col min="29" max="29" width="8.5703125" style="98" hidden="1" customWidth="1"/>
    <col min="30" max="30" width="14.140625" style="129" hidden="1" customWidth="1"/>
    <col min="31" max="31" width="8.140625" style="129" hidden="1" customWidth="1"/>
    <col min="32" max="32" width="11.7109375" style="129" hidden="1" customWidth="1"/>
    <col min="33" max="34" width="10.7109375" style="129" hidden="1" customWidth="1"/>
    <col min="35" max="35" width="8.5703125" style="129" hidden="1" customWidth="1"/>
    <col min="36" max="36" width="15.85546875" style="129" hidden="1" customWidth="1"/>
    <col min="37" max="37" width="8.140625" style="129" hidden="1" customWidth="1"/>
    <col min="38" max="38" width="7.7109375" style="129" hidden="1" customWidth="1"/>
    <col min="39" max="39" width="11.5703125" style="129" hidden="1" customWidth="1"/>
    <col min="40" max="40" width="6.5703125" style="129" hidden="1" customWidth="1"/>
    <col min="41" max="41" width="11.85546875" style="129" hidden="1" customWidth="1"/>
    <col min="42" max="42" width="6.5703125" style="129" hidden="1" customWidth="1"/>
    <col min="43" max="43" width="11.85546875" style="129" hidden="1" customWidth="1"/>
    <col min="44" max="16384" width="9.140625" style="98"/>
  </cols>
  <sheetData>
    <row r="1" spans="1:43" x14ac:dyDescent="0.25">
      <c r="A1" s="226" t="s">
        <v>116</v>
      </c>
      <c r="B1" s="227" t="str">
        <f>'Rekap Neraca Pengelolaan Sampah'!C3</f>
        <v>PT PELINDO DAYA SEJAHTERA</v>
      </c>
    </row>
    <row r="2" spans="1:43" ht="15.75" thickBot="1" x14ac:dyDescent="0.3">
      <c r="A2" s="226" t="s">
        <v>42</v>
      </c>
      <c r="B2" s="227">
        <f>'Rekap Neraca Pengelolaan Sampah'!D2</f>
        <v>2024</v>
      </c>
    </row>
    <row r="3" spans="1:43" ht="15.75" thickBot="1" x14ac:dyDescent="0.3">
      <c r="A3" s="160" t="s">
        <v>2</v>
      </c>
      <c r="B3" s="82" t="s">
        <v>65</v>
      </c>
      <c r="C3" s="160" t="s">
        <v>36</v>
      </c>
      <c r="D3" s="90"/>
      <c r="E3" s="90"/>
      <c r="F3" s="82"/>
      <c r="G3" s="160" t="s">
        <v>36</v>
      </c>
      <c r="H3" s="90"/>
      <c r="I3" s="90"/>
      <c r="J3" s="90"/>
      <c r="K3" s="160" t="s">
        <v>36</v>
      </c>
      <c r="L3" s="90"/>
      <c r="M3" s="90"/>
      <c r="N3" s="90"/>
      <c r="O3" s="160" t="s">
        <v>36</v>
      </c>
      <c r="P3" s="90"/>
      <c r="Q3" s="90"/>
      <c r="R3" s="90"/>
      <c r="S3" s="160" t="s">
        <v>36</v>
      </c>
      <c r="T3" s="90"/>
      <c r="U3" s="90"/>
      <c r="V3" s="90"/>
      <c r="W3" s="160" t="s">
        <v>36</v>
      </c>
      <c r="X3" s="90"/>
      <c r="Y3" s="90"/>
      <c r="Z3" s="90"/>
      <c r="AA3" s="297" t="s">
        <v>125</v>
      </c>
      <c r="AB3" s="300" t="s">
        <v>57</v>
      </c>
      <c r="AD3" s="161" t="s">
        <v>54</v>
      </c>
      <c r="AE3" s="162"/>
      <c r="AF3" s="162"/>
      <c r="AG3" s="162"/>
      <c r="AH3" s="163"/>
      <c r="AI3" s="91"/>
      <c r="AJ3" s="164" t="s">
        <v>56</v>
      </c>
      <c r="AK3" s="165"/>
      <c r="AL3" s="165"/>
      <c r="AM3" s="165"/>
      <c r="AN3" s="165"/>
      <c r="AO3" s="165"/>
      <c r="AP3" s="165"/>
      <c r="AQ3" s="165"/>
    </row>
    <row r="4" spans="1:43" ht="15" customHeight="1" x14ac:dyDescent="0.25">
      <c r="A4" s="310" t="s">
        <v>0</v>
      </c>
      <c r="B4" s="313" t="s">
        <v>87</v>
      </c>
      <c r="C4" s="98" t="s">
        <v>37</v>
      </c>
      <c r="D4" s="98"/>
      <c r="E4" s="98"/>
      <c r="F4" s="83"/>
      <c r="G4" s="166" t="s">
        <v>37</v>
      </c>
      <c r="H4" s="98"/>
      <c r="I4" s="98"/>
      <c r="J4" s="91"/>
      <c r="K4" s="166" t="s">
        <v>37</v>
      </c>
      <c r="L4" s="98"/>
      <c r="M4" s="98"/>
      <c r="N4" s="91"/>
      <c r="O4" s="166" t="s">
        <v>37</v>
      </c>
      <c r="P4" s="98"/>
      <c r="Q4" s="98"/>
      <c r="R4" s="91"/>
      <c r="S4" s="166" t="s">
        <v>37</v>
      </c>
      <c r="T4" s="98"/>
      <c r="U4" s="98"/>
      <c r="V4" s="91"/>
      <c r="W4" s="166" t="s">
        <v>37</v>
      </c>
      <c r="X4" s="98"/>
      <c r="Y4" s="98"/>
      <c r="Z4" s="91"/>
      <c r="AA4" s="298"/>
      <c r="AB4" s="301"/>
      <c r="AD4" s="167" t="s">
        <v>55</v>
      </c>
      <c r="AE4" s="168"/>
      <c r="AF4" s="168"/>
      <c r="AG4" s="169"/>
      <c r="AH4" s="170"/>
      <c r="AI4" s="98"/>
      <c r="AJ4" s="171" t="s">
        <v>126</v>
      </c>
      <c r="AK4" s="172"/>
      <c r="AL4" s="172"/>
      <c r="AM4" s="173"/>
      <c r="AN4" s="173"/>
      <c r="AO4" s="173"/>
      <c r="AP4" s="173"/>
      <c r="AQ4" s="173"/>
    </row>
    <row r="5" spans="1:43" ht="15.75" thickBot="1" x14ac:dyDescent="0.3">
      <c r="A5" s="311"/>
      <c r="B5" s="314"/>
      <c r="C5" s="91" t="s">
        <v>3</v>
      </c>
      <c r="D5" s="91"/>
      <c r="E5" s="91"/>
      <c r="F5" s="83"/>
      <c r="G5" s="174" t="s">
        <v>3</v>
      </c>
      <c r="H5" s="91"/>
      <c r="I5" s="91"/>
      <c r="J5" s="91"/>
      <c r="K5" s="174" t="s">
        <v>3</v>
      </c>
      <c r="L5" s="91"/>
      <c r="M5" s="91"/>
      <c r="N5" s="91"/>
      <c r="O5" s="174" t="s">
        <v>3</v>
      </c>
      <c r="P5" s="91"/>
      <c r="Q5" s="91"/>
      <c r="R5" s="91"/>
      <c r="S5" s="174" t="s">
        <v>3</v>
      </c>
      <c r="T5" s="91"/>
      <c r="U5" s="91"/>
      <c r="V5" s="91"/>
      <c r="W5" s="174" t="s">
        <v>3</v>
      </c>
      <c r="X5" s="91"/>
      <c r="Y5" s="91"/>
      <c r="Z5" s="91"/>
      <c r="AA5" s="298"/>
      <c r="AB5" s="301"/>
      <c r="AD5" s="175" t="s">
        <v>37</v>
      </c>
      <c r="AE5" s="169"/>
      <c r="AF5" s="169"/>
      <c r="AG5" s="168"/>
      <c r="AH5" s="176"/>
      <c r="AI5" s="91"/>
      <c r="AJ5" s="177" t="s">
        <v>91</v>
      </c>
      <c r="AK5" s="178" t="str">
        <f>B3</f>
        <v>Agustus</v>
      </c>
      <c r="AL5" s="178" t="s">
        <v>63</v>
      </c>
      <c r="AM5" s="178" t="str">
        <f>B4</f>
        <v>Tanggal</v>
      </c>
      <c r="AN5" s="179"/>
      <c r="AO5" s="179"/>
      <c r="AP5" s="179"/>
      <c r="AQ5" s="179"/>
    </row>
    <row r="6" spans="1:43" ht="30.75" customHeight="1" thickBot="1" x14ac:dyDescent="0.3">
      <c r="A6" s="311"/>
      <c r="B6" s="314"/>
      <c r="C6" s="316" t="s">
        <v>109</v>
      </c>
      <c r="D6" s="303"/>
      <c r="E6" s="303"/>
      <c r="F6" s="84"/>
      <c r="G6" s="304" t="s">
        <v>123</v>
      </c>
      <c r="H6" s="305"/>
      <c r="I6" s="305"/>
      <c r="J6" s="92"/>
      <c r="K6" s="306" t="s">
        <v>111</v>
      </c>
      <c r="L6" s="307"/>
      <c r="M6" s="307"/>
      <c r="N6" s="93"/>
      <c r="O6" s="306" t="s">
        <v>115</v>
      </c>
      <c r="P6" s="307"/>
      <c r="Q6" s="307"/>
      <c r="R6" s="93"/>
      <c r="S6" s="304" t="s">
        <v>124</v>
      </c>
      <c r="T6" s="305"/>
      <c r="U6" s="305"/>
      <c r="V6" s="92"/>
      <c r="W6" s="304" t="s">
        <v>84</v>
      </c>
      <c r="X6" s="305"/>
      <c r="Y6" s="305"/>
      <c r="Z6" s="93"/>
      <c r="AA6" s="298"/>
      <c r="AB6" s="301"/>
      <c r="AD6" s="180" t="s">
        <v>91</v>
      </c>
      <c r="AE6" s="181" t="str">
        <f>B3</f>
        <v>Agustus</v>
      </c>
      <c r="AF6" s="181" t="s">
        <v>63</v>
      </c>
      <c r="AG6" s="169" t="str">
        <f>B4</f>
        <v>Tanggal</v>
      </c>
      <c r="AH6" s="170"/>
      <c r="AI6" s="98"/>
      <c r="AJ6" s="296" t="s">
        <v>93</v>
      </c>
      <c r="AK6" s="296"/>
      <c r="AL6" s="296"/>
      <c r="AM6" s="296"/>
      <c r="AN6" s="296"/>
      <c r="AO6" s="296"/>
      <c r="AP6" s="296"/>
      <c r="AQ6" s="296"/>
    </row>
    <row r="7" spans="1:43" s="191" customFormat="1" ht="120.75" customHeight="1" thickBot="1" x14ac:dyDescent="0.3">
      <c r="A7" s="312"/>
      <c r="B7" s="315"/>
      <c r="C7" s="184" t="s">
        <v>85</v>
      </c>
      <c r="D7" s="182" t="s">
        <v>108</v>
      </c>
      <c r="E7" s="183" t="s">
        <v>145</v>
      </c>
      <c r="F7" s="85" t="s">
        <v>131</v>
      </c>
      <c r="G7" s="184" t="s">
        <v>85</v>
      </c>
      <c r="H7" s="182" t="s">
        <v>108</v>
      </c>
      <c r="I7" s="183" t="s">
        <v>145</v>
      </c>
      <c r="J7" s="85" t="s">
        <v>131</v>
      </c>
      <c r="K7" s="184" t="s">
        <v>85</v>
      </c>
      <c r="L7" s="182" t="s">
        <v>108</v>
      </c>
      <c r="M7" s="183" t="s">
        <v>145</v>
      </c>
      <c r="N7" s="85" t="s">
        <v>131</v>
      </c>
      <c r="O7" s="184" t="s">
        <v>85</v>
      </c>
      <c r="P7" s="182" t="s">
        <v>108</v>
      </c>
      <c r="Q7" s="183" t="s">
        <v>145</v>
      </c>
      <c r="R7" s="85" t="s">
        <v>131</v>
      </c>
      <c r="S7" s="184" t="s">
        <v>85</v>
      </c>
      <c r="T7" s="182" t="s">
        <v>108</v>
      </c>
      <c r="U7" s="183" t="s">
        <v>145</v>
      </c>
      <c r="V7" s="85" t="s">
        <v>131</v>
      </c>
      <c r="W7" s="184" t="s">
        <v>85</v>
      </c>
      <c r="X7" s="182" t="s">
        <v>108</v>
      </c>
      <c r="Y7" s="183" t="s">
        <v>145</v>
      </c>
      <c r="Z7" s="85" t="s">
        <v>131</v>
      </c>
      <c r="AA7" s="299"/>
      <c r="AB7" s="302"/>
      <c r="AC7" s="185"/>
      <c r="AD7" s="186" t="s">
        <v>90</v>
      </c>
      <c r="AE7" s="187" t="s">
        <v>87</v>
      </c>
      <c r="AF7" s="188" t="s">
        <v>92</v>
      </c>
      <c r="AG7" s="188" t="s">
        <v>110</v>
      </c>
      <c r="AH7" s="188" t="s">
        <v>101</v>
      </c>
      <c r="AI7" s="185"/>
      <c r="AJ7" s="189" t="s">
        <v>90</v>
      </c>
      <c r="AK7" s="189" t="s">
        <v>87</v>
      </c>
      <c r="AL7" s="190" t="s">
        <v>40</v>
      </c>
      <c r="AM7" s="190" t="s">
        <v>60</v>
      </c>
      <c r="AN7" s="190" t="s">
        <v>38</v>
      </c>
      <c r="AO7" s="190" t="s">
        <v>39</v>
      </c>
      <c r="AP7" s="190" t="s">
        <v>103</v>
      </c>
      <c r="AQ7" s="190" t="s">
        <v>102</v>
      </c>
    </row>
    <row r="8" spans="1:43" x14ac:dyDescent="0.25">
      <c r="A8" s="154">
        <v>1</v>
      </c>
      <c r="B8" s="155" t="s">
        <v>4</v>
      </c>
      <c r="C8" s="266">
        <v>1214</v>
      </c>
      <c r="D8" s="266">
        <f>((((1+1)*1.3)*1.3)*2)*2</f>
        <v>13.520000000000001</v>
      </c>
      <c r="E8" s="258">
        <v>130</v>
      </c>
      <c r="F8" s="86">
        <f t="shared" ref="F8:F38" si="0">SUM(C8:E8)</f>
        <v>1357.52</v>
      </c>
      <c r="G8" s="266">
        <v>810</v>
      </c>
      <c r="H8" s="266">
        <f>((((8.8+1)*1.3)*1.3)*2)*2</f>
        <v>66.248000000000019</v>
      </c>
      <c r="I8" s="258">
        <v>500</v>
      </c>
      <c r="J8" s="86">
        <f t="shared" ref="J8:J38" si="1">SUM(G8:I8)</f>
        <v>1376.248</v>
      </c>
      <c r="K8" s="266">
        <v>22.8</v>
      </c>
      <c r="L8" s="266">
        <v>10.14</v>
      </c>
      <c r="M8" s="258"/>
      <c r="N8" s="86">
        <f t="shared" ref="N8:N38" si="2">SUM(K8:M8)</f>
        <v>32.94</v>
      </c>
      <c r="O8" s="266">
        <v>1220.4000000000001</v>
      </c>
      <c r="P8" s="266">
        <f>((((46+1)*1.3)*1.3)*2)*2</f>
        <v>317.72000000000003</v>
      </c>
      <c r="Q8" s="258">
        <v>900</v>
      </c>
      <c r="R8" s="86">
        <f t="shared" ref="R8:R38" si="3">SUM(O8:Q8)</f>
        <v>2438.12</v>
      </c>
      <c r="S8" s="266">
        <v>320</v>
      </c>
      <c r="T8" s="266">
        <f>((((3+3)*1.3)*1.3)*2)*2</f>
        <v>40.56</v>
      </c>
      <c r="U8" s="258">
        <v>180</v>
      </c>
      <c r="V8" s="86">
        <f t="shared" ref="V8:V38" si="4">SUM(S8:U8)</f>
        <v>540.55999999999995</v>
      </c>
      <c r="W8" s="266">
        <v>100</v>
      </c>
      <c r="X8" s="266">
        <v>20.28</v>
      </c>
      <c r="Y8" s="258">
        <v>75</v>
      </c>
      <c r="Z8" s="86">
        <f t="shared" ref="Z8:Z38" si="5">SUM(W8:Y8)</f>
        <v>195.28</v>
      </c>
      <c r="AA8" s="94">
        <f>(F8+J8+N8+R8+V8+Z8)</f>
        <v>5940.6679999999988</v>
      </c>
      <c r="AB8" s="95" t="s">
        <v>53</v>
      </c>
      <c r="AC8" s="138"/>
      <c r="AD8" s="139">
        <v>1</v>
      </c>
      <c r="AE8" s="140" t="s">
        <v>4</v>
      </c>
      <c r="AF8" s="141">
        <f t="shared" ref="AF8:AG16" si="6">(C8+G8+K8+O8+S8+W8)</f>
        <v>3687.2</v>
      </c>
      <c r="AG8" s="141">
        <f t="shared" si="6"/>
        <v>468.46800000000007</v>
      </c>
      <c r="AH8" s="141">
        <f t="shared" ref="AH8:AH16" si="7">(E8+I8+M8+Q8++U8+Y8)</f>
        <v>1785</v>
      </c>
      <c r="AI8" s="108"/>
      <c r="AJ8" s="142">
        <v>1</v>
      </c>
      <c r="AK8" s="143" t="s">
        <v>4</v>
      </c>
      <c r="AL8" s="144">
        <f t="shared" ref="AL8:AL38" si="8">AF8</f>
        <v>3687.2</v>
      </c>
      <c r="AM8" s="145">
        <f t="shared" ref="AM8:AM38" si="9">AL8/AA8</f>
        <v>0.62067094138234968</v>
      </c>
      <c r="AN8" s="144">
        <f>AG8</f>
        <v>468.46800000000007</v>
      </c>
      <c r="AO8" s="145">
        <f t="shared" ref="AO8:AO38" si="10">AN8/AA8</f>
        <v>7.8857798483268238E-2</v>
      </c>
      <c r="AP8" s="144">
        <f>AH8</f>
        <v>1785</v>
      </c>
      <c r="AQ8" s="145">
        <f t="shared" ref="AQ8:AQ38" si="11">AP8/AA8</f>
        <v>0.30047126013438225</v>
      </c>
    </row>
    <row r="9" spans="1:43" x14ac:dyDescent="0.25">
      <c r="A9" s="156">
        <v>2</v>
      </c>
      <c r="B9" s="157" t="s">
        <v>5</v>
      </c>
      <c r="C9" s="266">
        <v>211.6</v>
      </c>
      <c r="D9" s="266">
        <f>((((1+1)*1.3)*1.3)*2)*2</f>
        <v>13.520000000000001</v>
      </c>
      <c r="E9" s="260">
        <v>105</v>
      </c>
      <c r="F9" s="87">
        <f t="shared" si="0"/>
        <v>330.12</v>
      </c>
      <c r="G9" s="266">
        <v>1018</v>
      </c>
      <c r="H9" s="266">
        <v>31.096</v>
      </c>
      <c r="I9" s="260">
        <v>450</v>
      </c>
      <c r="J9" s="87">
        <f t="shared" si="1"/>
        <v>1499.096</v>
      </c>
      <c r="K9" s="266">
        <v>19.2</v>
      </c>
      <c r="L9" s="266">
        <v>9.4639999999999986</v>
      </c>
      <c r="M9" s="260"/>
      <c r="N9" s="87">
        <f t="shared" si="2"/>
        <v>28.663999999999998</v>
      </c>
      <c r="O9" s="266">
        <v>819.2</v>
      </c>
      <c r="P9" s="266">
        <v>302.17200000000003</v>
      </c>
      <c r="Q9" s="260">
        <v>600</v>
      </c>
      <c r="R9" s="87">
        <f t="shared" si="3"/>
        <v>1721.3720000000001</v>
      </c>
      <c r="S9" s="266">
        <v>120</v>
      </c>
      <c r="T9" s="266">
        <f>((((2+2)*1.3)*1.3)*2)*2</f>
        <v>27.040000000000003</v>
      </c>
      <c r="U9" s="260">
        <v>100</v>
      </c>
      <c r="V9" s="87">
        <f t="shared" si="4"/>
        <v>247.04</v>
      </c>
      <c r="W9" s="266">
        <v>0</v>
      </c>
      <c r="X9" s="266">
        <v>20.28</v>
      </c>
      <c r="Y9" s="260"/>
      <c r="Z9" s="87">
        <f t="shared" si="5"/>
        <v>20.28</v>
      </c>
      <c r="AA9" s="94">
        <f t="shared" ref="AA9:AA38" si="12">(F9+J9+N9+R9+V9+Z9)</f>
        <v>3846.5720000000001</v>
      </c>
      <c r="AB9" s="96" t="s">
        <v>53</v>
      </c>
      <c r="AC9" s="138"/>
      <c r="AD9" s="146">
        <v>2</v>
      </c>
      <c r="AE9" s="147" t="s">
        <v>5</v>
      </c>
      <c r="AF9" s="141">
        <f t="shared" si="6"/>
        <v>2188</v>
      </c>
      <c r="AG9" s="141">
        <f t="shared" si="6"/>
        <v>403.572</v>
      </c>
      <c r="AH9" s="141">
        <f t="shared" si="7"/>
        <v>1255</v>
      </c>
      <c r="AI9" s="108"/>
      <c r="AJ9" s="148">
        <v>2</v>
      </c>
      <c r="AK9" s="149" t="s">
        <v>5</v>
      </c>
      <c r="AL9" s="144">
        <f t="shared" si="8"/>
        <v>2188</v>
      </c>
      <c r="AM9" s="145">
        <f t="shared" si="9"/>
        <v>0.56881815808985248</v>
      </c>
      <c r="AN9" s="144">
        <f t="shared" ref="AN9:AN38" si="13">AG9</f>
        <v>403.572</v>
      </c>
      <c r="AO9" s="145">
        <f t="shared" si="10"/>
        <v>0.10491731338968827</v>
      </c>
      <c r="AP9" s="144">
        <f t="shared" ref="AP9:AP38" si="14">AH9</f>
        <v>1255</v>
      </c>
      <c r="AQ9" s="145">
        <f t="shared" si="11"/>
        <v>0.32626452852045923</v>
      </c>
    </row>
    <row r="10" spans="1:43" x14ac:dyDescent="0.25">
      <c r="A10" s="156">
        <v>3</v>
      </c>
      <c r="B10" s="157" t="s">
        <v>6</v>
      </c>
      <c r="C10" s="266">
        <v>160</v>
      </c>
      <c r="D10" s="266">
        <v>0</v>
      </c>
      <c r="E10" s="260">
        <v>100</v>
      </c>
      <c r="F10" s="87">
        <f t="shared" si="0"/>
        <v>260</v>
      </c>
      <c r="G10" s="266">
        <v>200</v>
      </c>
      <c r="H10" s="266">
        <v>6.7600000000000007</v>
      </c>
      <c r="I10" s="260">
        <v>150</v>
      </c>
      <c r="J10" s="87">
        <f t="shared" si="1"/>
        <v>356.76</v>
      </c>
      <c r="K10" s="266">
        <v>0</v>
      </c>
      <c r="L10" s="266">
        <v>0</v>
      </c>
      <c r="M10" s="260"/>
      <c r="N10" s="87">
        <f t="shared" si="2"/>
        <v>0</v>
      </c>
      <c r="O10" s="266">
        <v>0</v>
      </c>
      <c r="P10" s="266">
        <v>0</v>
      </c>
      <c r="Q10" s="260">
        <v>0</v>
      </c>
      <c r="R10" s="87">
        <f t="shared" si="3"/>
        <v>0</v>
      </c>
      <c r="S10" s="266">
        <v>0</v>
      </c>
      <c r="T10" s="266">
        <v>0</v>
      </c>
      <c r="U10" s="260"/>
      <c r="V10" s="87">
        <f t="shared" si="4"/>
        <v>0</v>
      </c>
      <c r="W10" s="266">
        <v>0</v>
      </c>
      <c r="X10" s="266">
        <v>6.7600000000000007</v>
      </c>
      <c r="Y10" s="260"/>
      <c r="Z10" s="87">
        <f t="shared" si="5"/>
        <v>6.7600000000000007</v>
      </c>
      <c r="AA10" s="94">
        <f t="shared" si="12"/>
        <v>623.52</v>
      </c>
      <c r="AB10" s="96" t="s">
        <v>53</v>
      </c>
      <c r="AC10" s="138"/>
      <c r="AD10" s="146">
        <v>3</v>
      </c>
      <c r="AE10" s="147" t="s">
        <v>6</v>
      </c>
      <c r="AF10" s="141">
        <f t="shared" si="6"/>
        <v>360</v>
      </c>
      <c r="AG10" s="141">
        <f t="shared" si="6"/>
        <v>13.520000000000001</v>
      </c>
      <c r="AH10" s="141">
        <f t="shared" si="7"/>
        <v>250</v>
      </c>
      <c r="AI10" s="108"/>
      <c r="AJ10" s="148">
        <v>3</v>
      </c>
      <c r="AK10" s="149" t="s">
        <v>6</v>
      </c>
      <c r="AL10" s="144">
        <f t="shared" si="8"/>
        <v>360</v>
      </c>
      <c r="AM10" s="145">
        <f t="shared" si="9"/>
        <v>0.57736720554272514</v>
      </c>
      <c r="AN10" s="144">
        <f t="shared" si="13"/>
        <v>13.520000000000001</v>
      </c>
      <c r="AO10" s="145">
        <f t="shared" si="10"/>
        <v>2.1683346163715683E-2</v>
      </c>
      <c r="AP10" s="144">
        <f t="shared" si="14"/>
        <v>250</v>
      </c>
      <c r="AQ10" s="145">
        <f t="shared" si="11"/>
        <v>0.40094944829355916</v>
      </c>
    </row>
    <row r="11" spans="1:43" x14ac:dyDescent="0.25">
      <c r="A11" s="156">
        <v>4</v>
      </c>
      <c r="B11" s="157" t="s">
        <v>7</v>
      </c>
      <c r="C11" s="266">
        <v>0</v>
      </c>
      <c r="D11" s="266">
        <v>6.7600000000000007</v>
      </c>
      <c r="E11" s="260">
        <f>[2]Agustus!O9+[1]Agustus!O9+[3]Agustus!O9</f>
        <v>0</v>
      </c>
      <c r="F11" s="87">
        <f t="shared" si="0"/>
        <v>6.7600000000000007</v>
      </c>
      <c r="G11" s="266">
        <v>0</v>
      </c>
      <c r="H11" s="266">
        <v>0</v>
      </c>
      <c r="I11" s="260">
        <v>0</v>
      </c>
      <c r="J11" s="87">
        <f t="shared" si="1"/>
        <v>0</v>
      </c>
      <c r="K11" s="266">
        <v>0</v>
      </c>
      <c r="L11" s="266">
        <v>0</v>
      </c>
      <c r="M11" s="260"/>
      <c r="N11" s="87">
        <f t="shared" si="2"/>
        <v>0</v>
      </c>
      <c r="O11" s="266">
        <v>0</v>
      </c>
      <c r="P11" s="266">
        <v>0</v>
      </c>
      <c r="Q11" s="260">
        <v>0</v>
      </c>
      <c r="R11" s="87">
        <f t="shared" si="3"/>
        <v>0</v>
      </c>
      <c r="S11" s="266">
        <v>0</v>
      </c>
      <c r="T11" s="266">
        <v>0</v>
      </c>
      <c r="U11" s="260"/>
      <c r="V11" s="87">
        <f t="shared" si="4"/>
        <v>0</v>
      </c>
      <c r="W11" s="266">
        <v>0</v>
      </c>
      <c r="X11" s="266">
        <v>0</v>
      </c>
      <c r="Y11" s="260"/>
      <c r="Z11" s="87">
        <f t="shared" si="5"/>
        <v>0</v>
      </c>
      <c r="AA11" s="94">
        <f t="shared" si="12"/>
        <v>6.7600000000000007</v>
      </c>
      <c r="AB11" s="96" t="s">
        <v>53</v>
      </c>
      <c r="AC11" s="138"/>
      <c r="AD11" s="146">
        <v>4</v>
      </c>
      <c r="AE11" s="147" t="s">
        <v>7</v>
      </c>
      <c r="AF11" s="141">
        <f t="shared" si="6"/>
        <v>0</v>
      </c>
      <c r="AG11" s="141">
        <f t="shared" si="6"/>
        <v>6.7600000000000007</v>
      </c>
      <c r="AH11" s="141">
        <f t="shared" si="7"/>
        <v>0</v>
      </c>
      <c r="AI11" s="108"/>
      <c r="AJ11" s="148">
        <v>4</v>
      </c>
      <c r="AK11" s="149" t="s">
        <v>7</v>
      </c>
      <c r="AL11" s="144">
        <f t="shared" si="8"/>
        <v>0</v>
      </c>
      <c r="AM11" s="145">
        <f t="shared" si="9"/>
        <v>0</v>
      </c>
      <c r="AN11" s="144">
        <f t="shared" si="13"/>
        <v>6.7600000000000007</v>
      </c>
      <c r="AO11" s="145">
        <f t="shared" si="10"/>
        <v>1</v>
      </c>
      <c r="AP11" s="144">
        <f t="shared" si="14"/>
        <v>0</v>
      </c>
      <c r="AQ11" s="145">
        <f t="shared" si="11"/>
        <v>0</v>
      </c>
    </row>
    <row r="12" spans="1:43" x14ac:dyDescent="0.25">
      <c r="A12" s="156">
        <v>5</v>
      </c>
      <c r="B12" s="157" t="s">
        <v>8</v>
      </c>
      <c r="C12" s="266">
        <v>134.80000000000001</v>
      </c>
      <c r="D12" s="266">
        <v>16.900000000000002</v>
      </c>
      <c r="E12" s="260">
        <v>40</v>
      </c>
      <c r="F12" s="87">
        <f t="shared" si="0"/>
        <v>191.70000000000002</v>
      </c>
      <c r="G12" s="266">
        <v>214</v>
      </c>
      <c r="H12" s="266">
        <f>((((6.2+1)*1.3)*1.3)*2)*2</f>
        <v>48.672000000000011</v>
      </c>
      <c r="I12" s="260">
        <v>150</v>
      </c>
      <c r="J12" s="87">
        <f t="shared" si="1"/>
        <v>412.67200000000003</v>
      </c>
      <c r="K12" s="266">
        <v>15.6</v>
      </c>
      <c r="L12" s="266">
        <v>12.843999999999999</v>
      </c>
      <c r="M12" s="260"/>
      <c r="N12" s="87">
        <f t="shared" si="2"/>
        <v>28.443999999999999</v>
      </c>
      <c r="O12" s="266">
        <v>815.6</v>
      </c>
      <c r="P12" s="266">
        <f>((((43.5+1)*1.3)*1.3)*2)*2</f>
        <v>300.82</v>
      </c>
      <c r="Q12" s="260">
        <v>300</v>
      </c>
      <c r="R12" s="87">
        <f t="shared" si="3"/>
        <v>1416.42</v>
      </c>
      <c r="S12" s="266">
        <v>80</v>
      </c>
      <c r="T12" s="266">
        <f>((((2+3)*1.3)*1.3)*2)*2</f>
        <v>33.800000000000004</v>
      </c>
      <c r="U12" s="260">
        <v>90</v>
      </c>
      <c r="V12" s="87">
        <f t="shared" si="4"/>
        <v>203.8</v>
      </c>
      <c r="W12" s="266">
        <v>0</v>
      </c>
      <c r="X12" s="266">
        <v>13.520000000000001</v>
      </c>
      <c r="Y12" s="260">
        <v>5</v>
      </c>
      <c r="Z12" s="87">
        <f t="shared" si="5"/>
        <v>18.520000000000003</v>
      </c>
      <c r="AA12" s="94">
        <f t="shared" si="12"/>
        <v>2271.556</v>
      </c>
      <c r="AB12" s="96" t="s">
        <v>53</v>
      </c>
      <c r="AC12" s="138"/>
      <c r="AD12" s="146">
        <v>5</v>
      </c>
      <c r="AE12" s="147" t="s">
        <v>8</v>
      </c>
      <c r="AF12" s="141">
        <f t="shared" si="6"/>
        <v>1260</v>
      </c>
      <c r="AG12" s="141">
        <f t="shared" si="6"/>
        <v>426.55599999999998</v>
      </c>
      <c r="AH12" s="141">
        <f t="shared" si="7"/>
        <v>585</v>
      </c>
      <c r="AI12" s="108"/>
      <c r="AJ12" s="148">
        <v>5</v>
      </c>
      <c r="AK12" s="149" t="s">
        <v>8</v>
      </c>
      <c r="AL12" s="144">
        <f t="shared" si="8"/>
        <v>1260</v>
      </c>
      <c r="AM12" s="145">
        <f t="shared" si="9"/>
        <v>0.55468586290630739</v>
      </c>
      <c r="AN12" s="144">
        <f t="shared" si="13"/>
        <v>426.55599999999998</v>
      </c>
      <c r="AO12" s="145">
        <f t="shared" si="10"/>
        <v>0.18778141503004989</v>
      </c>
      <c r="AP12" s="144">
        <f t="shared" si="14"/>
        <v>585</v>
      </c>
      <c r="AQ12" s="145">
        <f t="shared" si="11"/>
        <v>0.25753272206364269</v>
      </c>
    </row>
    <row r="13" spans="1:43" x14ac:dyDescent="0.25">
      <c r="A13" s="156">
        <v>6</v>
      </c>
      <c r="B13" s="157" t="s">
        <v>9</v>
      </c>
      <c r="C13" s="266">
        <v>89.2</v>
      </c>
      <c r="D13" s="266">
        <f>((((2.2+1)*1.3)*1.3)*2)*2</f>
        <v>21.632000000000001</v>
      </c>
      <c r="E13" s="260">
        <v>30</v>
      </c>
      <c r="F13" s="87">
        <f t="shared" si="0"/>
        <v>140.83199999999999</v>
      </c>
      <c r="G13" s="266">
        <v>418</v>
      </c>
      <c r="H13" s="266">
        <v>33.800000000000004</v>
      </c>
      <c r="I13" s="260">
        <v>250</v>
      </c>
      <c r="J13" s="87">
        <f t="shared" si="1"/>
        <v>701.8</v>
      </c>
      <c r="K13" s="266">
        <v>216.4</v>
      </c>
      <c r="L13" s="266">
        <v>13.520000000000001</v>
      </c>
      <c r="M13" s="260">
        <v>170</v>
      </c>
      <c r="N13" s="87">
        <f t="shared" si="2"/>
        <v>399.92</v>
      </c>
      <c r="O13" s="266">
        <v>816.8</v>
      </c>
      <c r="P13" s="266">
        <v>305.55200000000002</v>
      </c>
      <c r="Q13" s="260">
        <v>500</v>
      </c>
      <c r="R13" s="87">
        <f t="shared" si="3"/>
        <v>1622.3519999999999</v>
      </c>
      <c r="S13" s="266">
        <v>120</v>
      </c>
      <c r="T13" s="266">
        <f>((((2+3)*1.3)*1.3)*2)*2</f>
        <v>33.800000000000004</v>
      </c>
      <c r="U13" s="260">
        <v>70</v>
      </c>
      <c r="V13" s="87">
        <f t="shared" si="4"/>
        <v>223.8</v>
      </c>
      <c r="W13" s="266">
        <v>0</v>
      </c>
      <c r="X13" s="266">
        <v>13.520000000000001</v>
      </c>
      <c r="Y13" s="260">
        <v>5</v>
      </c>
      <c r="Z13" s="87">
        <f t="shared" si="5"/>
        <v>18.520000000000003</v>
      </c>
      <c r="AA13" s="94">
        <f t="shared" si="12"/>
        <v>3107.2239999999997</v>
      </c>
      <c r="AB13" s="96" t="s">
        <v>53</v>
      </c>
      <c r="AC13" s="138"/>
      <c r="AD13" s="146">
        <v>6</v>
      </c>
      <c r="AE13" s="147" t="s">
        <v>9</v>
      </c>
      <c r="AF13" s="141">
        <f t="shared" si="6"/>
        <v>1660.4</v>
      </c>
      <c r="AG13" s="141">
        <f t="shared" si="6"/>
        <v>421.82400000000001</v>
      </c>
      <c r="AH13" s="141">
        <f t="shared" si="7"/>
        <v>1025</v>
      </c>
      <c r="AI13" s="108"/>
      <c r="AJ13" s="148">
        <v>6</v>
      </c>
      <c r="AK13" s="149" t="s">
        <v>9</v>
      </c>
      <c r="AL13" s="144">
        <f t="shared" si="8"/>
        <v>1660.4</v>
      </c>
      <c r="AM13" s="145">
        <f t="shared" si="9"/>
        <v>0.53436765421482335</v>
      </c>
      <c r="AN13" s="144">
        <f t="shared" si="13"/>
        <v>421.82400000000001</v>
      </c>
      <c r="AO13" s="145">
        <f t="shared" si="10"/>
        <v>0.13575590301825682</v>
      </c>
      <c r="AP13" s="144">
        <f t="shared" si="14"/>
        <v>1025</v>
      </c>
      <c r="AQ13" s="145">
        <f t="shared" si="11"/>
        <v>0.32987644276691996</v>
      </c>
    </row>
    <row r="14" spans="1:43" x14ac:dyDescent="0.25">
      <c r="A14" s="156">
        <v>7</v>
      </c>
      <c r="B14" s="157" t="s">
        <v>10</v>
      </c>
      <c r="C14" s="266">
        <v>211.2</v>
      </c>
      <c r="D14" s="266">
        <f>((((4.4+1)*1.3)*1.3)*2)*2</f>
        <v>36.504000000000005</v>
      </c>
      <c r="E14" s="260">
        <v>140</v>
      </c>
      <c r="F14" s="87">
        <f t="shared" si="0"/>
        <v>387.70400000000001</v>
      </c>
      <c r="G14" s="266">
        <v>414</v>
      </c>
      <c r="H14" s="266">
        <f>((((4.4+1)*1.3)*1.3)*2)*2</f>
        <v>36.504000000000005</v>
      </c>
      <c r="I14" s="260">
        <v>250</v>
      </c>
      <c r="J14" s="87">
        <f t="shared" si="1"/>
        <v>700.50400000000002</v>
      </c>
      <c r="K14" s="266">
        <v>418</v>
      </c>
      <c r="L14" s="266">
        <v>33.800000000000004</v>
      </c>
      <c r="M14" s="260">
        <v>110</v>
      </c>
      <c r="N14" s="87">
        <f t="shared" si="2"/>
        <v>561.79999999999995</v>
      </c>
      <c r="O14" s="266">
        <v>621.6</v>
      </c>
      <c r="P14" s="266">
        <f>((((44.6+1)*1.3)*1.3)*2)*2</f>
        <v>308.25600000000003</v>
      </c>
      <c r="Q14" s="260">
        <v>500</v>
      </c>
      <c r="R14" s="87">
        <f t="shared" si="3"/>
        <v>1429.856</v>
      </c>
      <c r="S14" s="266">
        <v>200</v>
      </c>
      <c r="T14" s="266">
        <f>((((2+4)*1.3)*1.3)*2)*2</f>
        <v>40.56</v>
      </c>
      <c r="U14" s="260">
        <v>80</v>
      </c>
      <c r="V14" s="87">
        <f t="shared" si="4"/>
        <v>320.56</v>
      </c>
      <c r="W14" s="266">
        <v>200</v>
      </c>
      <c r="X14" s="266">
        <v>13.520000000000001</v>
      </c>
      <c r="Y14" s="260">
        <v>155</v>
      </c>
      <c r="Z14" s="87">
        <f t="shared" si="5"/>
        <v>368.52</v>
      </c>
      <c r="AA14" s="94">
        <f t="shared" si="12"/>
        <v>3768.944</v>
      </c>
      <c r="AB14" s="96" t="s">
        <v>53</v>
      </c>
      <c r="AC14" s="138"/>
      <c r="AD14" s="146">
        <v>7</v>
      </c>
      <c r="AE14" s="147" t="s">
        <v>10</v>
      </c>
      <c r="AF14" s="141">
        <f t="shared" si="6"/>
        <v>2064.8000000000002</v>
      </c>
      <c r="AG14" s="141">
        <f t="shared" si="6"/>
        <v>469.14400000000006</v>
      </c>
      <c r="AH14" s="141">
        <f t="shared" si="7"/>
        <v>1235</v>
      </c>
      <c r="AI14" s="108"/>
      <c r="AJ14" s="148">
        <v>7</v>
      </c>
      <c r="AK14" s="149" t="s">
        <v>10</v>
      </c>
      <c r="AL14" s="144">
        <f t="shared" si="8"/>
        <v>2064.8000000000002</v>
      </c>
      <c r="AM14" s="145">
        <f t="shared" si="9"/>
        <v>0.54784576263271623</v>
      </c>
      <c r="AN14" s="144">
        <f t="shared" si="13"/>
        <v>469.14400000000006</v>
      </c>
      <c r="AO14" s="145">
        <f t="shared" si="10"/>
        <v>0.12447624586621613</v>
      </c>
      <c r="AP14" s="144">
        <f t="shared" si="14"/>
        <v>1235</v>
      </c>
      <c r="AQ14" s="145">
        <f t="shared" si="11"/>
        <v>0.32767799150106769</v>
      </c>
    </row>
    <row r="15" spans="1:43" x14ac:dyDescent="0.25">
      <c r="A15" s="156">
        <v>8</v>
      </c>
      <c r="B15" s="157" t="s">
        <v>11</v>
      </c>
      <c r="C15" s="266">
        <v>212.4</v>
      </c>
      <c r="D15" s="266">
        <v>15.548</v>
      </c>
      <c r="E15" s="260">
        <v>55</v>
      </c>
      <c r="F15" s="87">
        <f t="shared" si="0"/>
        <v>282.94799999999998</v>
      </c>
      <c r="G15" s="266">
        <v>415.2</v>
      </c>
      <c r="H15" s="266">
        <v>31.772000000000002</v>
      </c>
      <c r="I15" s="260">
        <v>330</v>
      </c>
      <c r="J15" s="87">
        <f t="shared" si="1"/>
        <v>776.97199999999998</v>
      </c>
      <c r="K15" s="266">
        <v>14</v>
      </c>
      <c r="L15" s="266">
        <v>16.224</v>
      </c>
      <c r="M15" s="260"/>
      <c r="N15" s="87">
        <f t="shared" si="2"/>
        <v>30.224</v>
      </c>
      <c r="O15" s="266">
        <v>414.4</v>
      </c>
      <c r="P15" s="266">
        <f>((((45.8+1)*1.3)*1.3)*2)*2</f>
        <v>316.36799999999999</v>
      </c>
      <c r="Q15" s="260">
        <v>400</v>
      </c>
      <c r="R15" s="87">
        <f t="shared" si="3"/>
        <v>1130.768</v>
      </c>
      <c r="S15" s="266">
        <v>40</v>
      </c>
      <c r="T15" s="266">
        <f>((((1+2)*1.3)*1.3)*2)*2</f>
        <v>20.28</v>
      </c>
      <c r="U15" s="260">
        <v>60</v>
      </c>
      <c r="V15" s="87">
        <f t="shared" si="4"/>
        <v>120.28</v>
      </c>
      <c r="W15" s="266">
        <v>160</v>
      </c>
      <c r="X15" s="266">
        <v>6.7600000000000007</v>
      </c>
      <c r="Y15" s="260">
        <v>125</v>
      </c>
      <c r="Z15" s="87">
        <f t="shared" si="5"/>
        <v>291.76</v>
      </c>
      <c r="AA15" s="94">
        <f t="shared" si="12"/>
        <v>2632.9520000000002</v>
      </c>
      <c r="AB15" s="96" t="s">
        <v>53</v>
      </c>
      <c r="AC15" s="138"/>
      <c r="AD15" s="146">
        <v>8</v>
      </c>
      <c r="AE15" s="147" t="s">
        <v>11</v>
      </c>
      <c r="AF15" s="141">
        <f t="shared" si="6"/>
        <v>1256</v>
      </c>
      <c r="AG15" s="141">
        <f t="shared" si="6"/>
        <v>406.952</v>
      </c>
      <c r="AH15" s="141">
        <f t="shared" si="7"/>
        <v>970</v>
      </c>
      <c r="AI15" s="108"/>
      <c r="AJ15" s="148">
        <v>8</v>
      </c>
      <c r="AK15" s="149" t="s">
        <v>11</v>
      </c>
      <c r="AL15" s="144">
        <f t="shared" si="8"/>
        <v>1256</v>
      </c>
      <c r="AM15" s="145">
        <f t="shared" si="9"/>
        <v>0.47703110425104595</v>
      </c>
      <c r="AN15" s="144">
        <f t="shared" si="13"/>
        <v>406.952</v>
      </c>
      <c r="AO15" s="145">
        <f t="shared" si="10"/>
        <v>0.15456111619201565</v>
      </c>
      <c r="AP15" s="144">
        <f t="shared" si="14"/>
        <v>970</v>
      </c>
      <c r="AQ15" s="145">
        <f t="shared" si="11"/>
        <v>0.36840777955693832</v>
      </c>
    </row>
    <row r="16" spans="1:43" x14ac:dyDescent="0.25">
      <c r="A16" s="156">
        <v>9</v>
      </c>
      <c r="B16" s="157" t="s">
        <v>12</v>
      </c>
      <c r="C16" s="266">
        <v>135.19999999999999</v>
      </c>
      <c r="D16" s="266">
        <f>((((2.5+1)*1.3)*1.3)*2)*2</f>
        <v>23.66</v>
      </c>
      <c r="E16" s="260">
        <v>100</v>
      </c>
      <c r="F16" s="87">
        <f t="shared" si="0"/>
        <v>258.86</v>
      </c>
      <c r="G16" s="266">
        <v>416.8</v>
      </c>
      <c r="H16" s="266">
        <f>((((1.9+1)*1.3)*1.3)*2)*2</f>
        <v>19.603999999999999</v>
      </c>
      <c r="I16" s="260">
        <v>320</v>
      </c>
      <c r="J16" s="87">
        <f t="shared" si="1"/>
        <v>756.404</v>
      </c>
      <c r="K16" s="266">
        <v>424.4</v>
      </c>
      <c r="L16" s="266">
        <v>9.4639999999999986</v>
      </c>
      <c r="M16" s="260">
        <v>180</v>
      </c>
      <c r="N16" s="87">
        <f t="shared" si="2"/>
        <v>613.86400000000003</v>
      </c>
      <c r="O16" s="266">
        <v>817.2</v>
      </c>
      <c r="P16" s="266">
        <v>288.65200000000004</v>
      </c>
      <c r="Q16" s="260">
        <v>400</v>
      </c>
      <c r="R16" s="87">
        <f t="shared" si="3"/>
        <v>1505.8520000000001</v>
      </c>
      <c r="S16" s="266">
        <v>120</v>
      </c>
      <c r="T16" s="266">
        <f>((((1+2)*1.3)*1.3)*2)*2</f>
        <v>20.28</v>
      </c>
      <c r="U16" s="260">
        <v>60</v>
      </c>
      <c r="V16" s="87">
        <f t="shared" si="4"/>
        <v>200.28</v>
      </c>
      <c r="W16" s="266">
        <v>0</v>
      </c>
      <c r="X16" s="266">
        <v>0</v>
      </c>
      <c r="Y16" s="260"/>
      <c r="Z16" s="87">
        <f t="shared" si="5"/>
        <v>0</v>
      </c>
      <c r="AA16" s="94">
        <f t="shared" si="12"/>
        <v>3335.2600000000007</v>
      </c>
      <c r="AB16" s="96" t="s">
        <v>53</v>
      </c>
      <c r="AC16" s="138"/>
      <c r="AD16" s="146">
        <v>9</v>
      </c>
      <c r="AE16" s="147" t="s">
        <v>12</v>
      </c>
      <c r="AF16" s="141">
        <f t="shared" si="6"/>
        <v>1913.6</v>
      </c>
      <c r="AG16" s="141">
        <f t="shared" si="6"/>
        <v>361.66000000000008</v>
      </c>
      <c r="AH16" s="141">
        <f t="shared" si="7"/>
        <v>1060</v>
      </c>
      <c r="AI16" s="108"/>
      <c r="AJ16" s="148">
        <v>9</v>
      </c>
      <c r="AK16" s="149" t="s">
        <v>12</v>
      </c>
      <c r="AL16" s="144">
        <f t="shared" si="8"/>
        <v>1913.6</v>
      </c>
      <c r="AM16" s="145">
        <f t="shared" si="9"/>
        <v>0.5737483734401515</v>
      </c>
      <c r="AN16" s="144">
        <f t="shared" si="13"/>
        <v>361.66000000000008</v>
      </c>
      <c r="AO16" s="145">
        <f t="shared" si="10"/>
        <v>0.10843532438250691</v>
      </c>
      <c r="AP16" s="144">
        <f t="shared" si="14"/>
        <v>1060</v>
      </c>
      <c r="AQ16" s="145">
        <f t="shared" si="11"/>
        <v>0.31781630217734141</v>
      </c>
    </row>
    <row r="17" spans="1:43" x14ac:dyDescent="0.25">
      <c r="A17" s="156">
        <v>10</v>
      </c>
      <c r="B17" s="157" t="s">
        <v>13</v>
      </c>
      <c r="C17" s="266">
        <v>0</v>
      </c>
      <c r="D17" s="266">
        <v>0</v>
      </c>
      <c r="E17" s="260">
        <v>0</v>
      </c>
      <c r="F17" s="87">
        <f t="shared" si="0"/>
        <v>0</v>
      </c>
      <c r="G17" s="266">
        <v>0</v>
      </c>
      <c r="H17" s="266">
        <v>0</v>
      </c>
      <c r="I17" s="260">
        <v>0</v>
      </c>
      <c r="J17" s="87">
        <f t="shared" si="1"/>
        <v>0</v>
      </c>
      <c r="K17" s="266">
        <v>0</v>
      </c>
      <c r="L17" s="266">
        <v>0</v>
      </c>
      <c r="M17" s="260"/>
      <c r="N17" s="87">
        <f t="shared" si="2"/>
        <v>0</v>
      </c>
      <c r="O17" s="266">
        <v>0</v>
      </c>
      <c r="P17" s="266">
        <v>0</v>
      </c>
      <c r="Q17" s="260">
        <v>220</v>
      </c>
      <c r="R17" s="87">
        <f t="shared" si="3"/>
        <v>220</v>
      </c>
      <c r="S17" s="266">
        <v>0</v>
      </c>
      <c r="T17" s="266">
        <v>0</v>
      </c>
      <c r="U17" s="260"/>
      <c r="V17" s="87">
        <f t="shared" si="4"/>
        <v>0</v>
      </c>
      <c r="W17" s="266">
        <v>120</v>
      </c>
      <c r="X17" s="266">
        <v>0</v>
      </c>
      <c r="Y17" s="260">
        <v>70</v>
      </c>
      <c r="Z17" s="87">
        <f t="shared" si="5"/>
        <v>190</v>
      </c>
      <c r="AA17" s="94">
        <f t="shared" si="12"/>
        <v>410</v>
      </c>
      <c r="AB17" s="96" t="s">
        <v>53</v>
      </c>
      <c r="AC17" s="138"/>
      <c r="AD17" s="146">
        <v>10</v>
      </c>
      <c r="AE17" s="147" t="s">
        <v>13</v>
      </c>
      <c r="AF17" s="141">
        <f>(C17+G17+K17+O17+S17+W17)</f>
        <v>120</v>
      </c>
      <c r="AG17" s="141">
        <f>(D17+H17+L17+P17+T17+X17)</f>
        <v>0</v>
      </c>
      <c r="AH17" s="141">
        <f>(E17+I17+M17+Q17++U17+Y17)</f>
        <v>290</v>
      </c>
      <c r="AI17" s="108"/>
      <c r="AJ17" s="148">
        <v>10</v>
      </c>
      <c r="AK17" s="149" t="s">
        <v>13</v>
      </c>
      <c r="AL17" s="144">
        <f t="shared" si="8"/>
        <v>120</v>
      </c>
      <c r="AM17" s="145">
        <f t="shared" si="9"/>
        <v>0.29268292682926828</v>
      </c>
      <c r="AN17" s="144">
        <f t="shared" si="13"/>
        <v>0</v>
      </c>
      <c r="AO17" s="145">
        <f t="shared" si="10"/>
        <v>0</v>
      </c>
      <c r="AP17" s="144">
        <f t="shared" si="14"/>
        <v>290</v>
      </c>
      <c r="AQ17" s="145">
        <f t="shared" si="11"/>
        <v>0.70731707317073167</v>
      </c>
    </row>
    <row r="18" spans="1:43" x14ac:dyDescent="0.25">
      <c r="A18" s="156">
        <v>11</v>
      </c>
      <c r="B18" s="157" t="s">
        <v>14</v>
      </c>
      <c r="C18" s="266">
        <v>40</v>
      </c>
      <c r="D18" s="266">
        <v>0</v>
      </c>
      <c r="E18" s="260">
        <v>70</v>
      </c>
      <c r="F18" s="87">
        <f t="shared" si="0"/>
        <v>110</v>
      </c>
      <c r="G18" s="266">
        <v>80</v>
      </c>
      <c r="H18" s="266">
        <v>0</v>
      </c>
      <c r="I18" s="260">
        <v>80</v>
      </c>
      <c r="J18" s="87">
        <f t="shared" si="1"/>
        <v>160</v>
      </c>
      <c r="K18" s="266">
        <v>0</v>
      </c>
      <c r="L18" s="266">
        <v>0</v>
      </c>
      <c r="M18" s="260"/>
      <c r="N18" s="87">
        <f t="shared" si="2"/>
        <v>0</v>
      </c>
      <c r="O18" s="266">
        <v>400</v>
      </c>
      <c r="P18" s="266">
        <v>0</v>
      </c>
      <c r="Q18" s="260">
        <v>300</v>
      </c>
      <c r="R18" s="87">
        <f t="shared" si="3"/>
        <v>700</v>
      </c>
      <c r="S18" s="266">
        <v>80</v>
      </c>
      <c r="T18" s="266">
        <v>6.7600000000000007</v>
      </c>
      <c r="U18" s="260">
        <v>70</v>
      </c>
      <c r="V18" s="87">
        <f t="shared" si="4"/>
        <v>156.76</v>
      </c>
      <c r="W18" s="266">
        <v>0</v>
      </c>
      <c r="X18" s="266">
        <v>0</v>
      </c>
      <c r="Y18" s="260"/>
      <c r="Z18" s="87">
        <f t="shared" si="5"/>
        <v>0</v>
      </c>
      <c r="AA18" s="94">
        <f t="shared" si="12"/>
        <v>1126.76</v>
      </c>
      <c r="AB18" s="96" t="s">
        <v>53</v>
      </c>
      <c r="AC18" s="138"/>
      <c r="AD18" s="146">
        <v>11</v>
      </c>
      <c r="AE18" s="147" t="s">
        <v>14</v>
      </c>
      <c r="AF18" s="141">
        <f t="shared" ref="AF18:AG38" si="15">(C18+G18+K18+O18+S18+W18)</f>
        <v>600</v>
      </c>
      <c r="AG18" s="141">
        <f t="shared" si="15"/>
        <v>6.7600000000000007</v>
      </c>
      <c r="AH18" s="141">
        <f t="shared" ref="AH18:AH38" si="16">(E18+I18+M18+Q18++U18+Y18)</f>
        <v>520</v>
      </c>
      <c r="AI18" s="108"/>
      <c r="AJ18" s="148">
        <v>11</v>
      </c>
      <c r="AK18" s="149" t="s">
        <v>14</v>
      </c>
      <c r="AL18" s="144">
        <f t="shared" si="8"/>
        <v>600</v>
      </c>
      <c r="AM18" s="145">
        <f t="shared" si="9"/>
        <v>0.53250026625013314</v>
      </c>
      <c r="AN18" s="144">
        <f t="shared" si="13"/>
        <v>6.7600000000000007</v>
      </c>
      <c r="AO18" s="145">
        <f t="shared" si="10"/>
        <v>5.9995029997515006E-3</v>
      </c>
      <c r="AP18" s="144">
        <f t="shared" si="14"/>
        <v>520</v>
      </c>
      <c r="AQ18" s="145">
        <f t="shared" si="11"/>
        <v>0.46150023075011537</v>
      </c>
    </row>
    <row r="19" spans="1:43" x14ac:dyDescent="0.25">
      <c r="A19" s="156">
        <v>12</v>
      </c>
      <c r="B19" s="157" t="s">
        <v>15</v>
      </c>
      <c r="C19" s="266">
        <v>210.4</v>
      </c>
      <c r="D19" s="266">
        <f>((((3.7+1)*1.3)*1.3)*2)*2</f>
        <v>31.772000000000002</v>
      </c>
      <c r="E19" s="260">
        <v>210</v>
      </c>
      <c r="F19" s="87">
        <f t="shared" si="0"/>
        <v>452.17200000000003</v>
      </c>
      <c r="G19" s="266">
        <v>415.6</v>
      </c>
      <c r="H19" s="266">
        <f>((((10.3+1)*1.3)*1.3)*2)*2</f>
        <v>76.388000000000005</v>
      </c>
      <c r="I19" s="260">
        <v>300</v>
      </c>
      <c r="J19" s="87">
        <f t="shared" si="1"/>
        <v>791.98800000000006</v>
      </c>
      <c r="K19" s="266">
        <v>218</v>
      </c>
      <c r="L19" s="266">
        <v>34.475999999999999</v>
      </c>
      <c r="M19" s="260">
        <v>50</v>
      </c>
      <c r="N19" s="87">
        <f t="shared" si="2"/>
        <v>302.476</v>
      </c>
      <c r="O19" s="266">
        <v>819.6</v>
      </c>
      <c r="P19" s="266">
        <f>((((45+1)*1.3)*1.3)*2)*2</f>
        <v>310.96000000000004</v>
      </c>
      <c r="Q19" s="260">
        <v>400</v>
      </c>
      <c r="R19" s="87">
        <f t="shared" si="3"/>
        <v>1530.56</v>
      </c>
      <c r="S19" s="266">
        <v>160</v>
      </c>
      <c r="T19" s="266">
        <f>((((1+2)*1.3)*1.3)*2)*2</f>
        <v>20.28</v>
      </c>
      <c r="U19" s="260">
        <v>110</v>
      </c>
      <c r="V19" s="87">
        <f t="shared" si="4"/>
        <v>290.27999999999997</v>
      </c>
      <c r="W19" s="266">
        <v>0</v>
      </c>
      <c r="X19" s="266">
        <v>6.7600000000000007</v>
      </c>
      <c r="Y19" s="260"/>
      <c r="Z19" s="87">
        <f t="shared" si="5"/>
        <v>6.7600000000000007</v>
      </c>
      <c r="AA19" s="94">
        <f t="shared" si="12"/>
        <v>3374.2359999999999</v>
      </c>
      <c r="AB19" s="96" t="s">
        <v>53</v>
      </c>
      <c r="AC19" s="138"/>
      <c r="AD19" s="146">
        <v>12</v>
      </c>
      <c r="AE19" s="147" t="s">
        <v>15</v>
      </c>
      <c r="AF19" s="141">
        <f t="shared" si="15"/>
        <v>1823.6</v>
      </c>
      <c r="AG19" s="141">
        <f t="shared" si="15"/>
        <v>480.63600000000008</v>
      </c>
      <c r="AH19" s="141">
        <f t="shared" si="16"/>
        <v>1070</v>
      </c>
      <c r="AI19" s="108"/>
      <c r="AJ19" s="148">
        <v>12</v>
      </c>
      <c r="AK19" s="149" t="s">
        <v>15</v>
      </c>
      <c r="AL19" s="144">
        <f t="shared" si="8"/>
        <v>1823.6</v>
      </c>
      <c r="AM19" s="145">
        <f t="shared" si="9"/>
        <v>0.54044826740038332</v>
      </c>
      <c r="AN19" s="144">
        <f t="shared" si="13"/>
        <v>480.63600000000008</v>
      </c>
      <c r="AO19" s="145">
        <f t="shared" si="10"/>
        <v>0.14244291152130439</v>
      </c>
      <c r="AP19" s="144">
        <f t="shared" si="14"/>
        <v>1070</v>
      </c>
      <c r="AQ19" s="145">
        <f t="shared" si="11"/>
        <v>0.31710882107831223</v>
      </c>
    </row>
    <row r="20" spans="1:43" x14ac:dyDescent="0.25">
      <c r="A20" s="156">
        <v>13</v>
      </c>
      <c r="B20" s="157" t="s">
        <v>16</v>
      </c>
      <c r="C20" s="266">
        <v>132</v>
      </c>
      <c r="D20" s="266">
        <f>((((4.6+1)*1.3)*1.3)*2)*2</f>
        <v>37.855999999999995</v>
      </c>
      <c r="E20" s="260">
        <v>150</v>
      </c>
      <c r="F20" s="87">
        <f t="shared" si="0"/>
        <v>319.85599999999999</v>
      </c>
      <c r="G20" s="266">
        <v>420.8</v>
      </c>
      <c r="H20" s="266">
        <v>16.900000000000002</v>
      </c>
      <c r="I20" s="260">
        <v>300</v>
      </c>
      <c r="J20" s="87">
        <f t="shared" si="1"/>
        <v>737.7</v>
      </c>
      <c r="K20" s="266">
        <v>175.6</v>
      </c>
      <c r="L20" s="266">
        <v>9.4639999999999986</v>
      </c>
      <c r="M20" s="260">
        <v>150</v>
      </c>
      <c r="N20" s="87">
        <f t="shared" si="2"/>
        <v>335.06399999999996</v>
      </c>
      <c r="O20" s="266">
        <v>2020.8</v>
      </c>
      <c r="P20" s="266">
        <v>308.25600000000003</v>
      </c>
      <c r="Q20" s="260">
        <v>700</v>
      </c>
      <c r="R20" s="87">
        <f t="shared" si="3"/>
        <v>3029.056</v>
      </c>
      <c r="S20" s="266">
        <v>80</v>
      </c>
      <c r="T20" s="266">
        <f>((((1+1)*1.3)*1.3)*2)*2</f>
        <v>13.520000000000001</v>
      </c>
      <c r="U20" s="260">
        <v>60</v>
      </c>
      <c r="V20" s="87">
        <f t="shared" si="4"/>
        <v>153.51999999999998</v>
      </c>
      <c r="W20" s="266">
        <v>0</v>
      </c>
      <c r="X20" s="266">
        <v>0</v>
      </c>
      <c r="Y20" s="260"/>
      <c r="Z20" s="87">
        <f t="shared" si="5"/>
        <v>0</v>
      </c>
      <c r="AA20" s="94">
        <f t="shared" si="12"/>
        <v>4575.1959999999999</v>
      </c>
      <c r="AB20" s="96" t="s">
        <v>53</v>
      </c>
      <c r="AC20" s="138"/>
      <c r="AD20" s="146">
        <v>13</v>
      </c>
      <c r="AE20" s="147" t="s">
        <v>16</v>
      </c>
      <c r="AF20" s="141">
        <f t="shared" si="15"/>
        <v>2829.2</v>
      </c>
      <c r="AG20" s="141">
        <f t="shared" si="15"/>
        <v>385.99599999999998</v>
      </c>
      <c r="AH20" s="141">
        <f t="shared" si="16"/>
        <v>1360</v>
      </c>
      <c r="AI20" s="108"/>
      <c r="AJ20" s="148">
        <v>13</v>
      </c>
      <c r="AK20" s="149" t="s">
        <v>16</v>
      </c>
      <c r="AL20" s="144">
        <f t="shared" si="8"/>
        <v>2829.2</v>
      </c>
      <c r="AM20" s="145">
        <f t="shared" si="9"/>
        <v>0.61837787933019694</v>
      </c>
      <c r="AN20" s="144">
        <f t="shared" si="13"/>
        <v>385.99599999999998</v>
      </c>
      <c r="AO20" s="145">
        <f t="shared" si="10"/>
        <v>8.4367095967036163E-2</v>
      </c>
      <c r="AP20" s="144">
        <f t="shared" si="14"/>
        <v>1360</v>
      </c>
      <c r="AQ20" s="145">
        <f t="shared" si="11"/>
        <v>0.29725502470276682</v>
      </c>
    </row>
    <row r="21" spans="1:43" x14ac:dyDescent="0.25">
      <c r="A21" s="156">
        <v>14</v>
      </c>
      <c r="B21" s="157" t="s">
        <v>17</v>
      </c>
      <c r="C21" s="266">
        <v>290.39999999999998</v>
      </c>
      <c r="D21" s="266">
        <v>16.224</v>
      </c>
      <c r="E21" s="260">
        <v>250</v>
      </c>
      <c r="F21" s="87">
        <f t="shared" si="0"/>
        <v>556.62400000000002</v>
      </c>
      <c r="G21" s="266">
        <v>816.8</v>
      </c>
      <c r="H21" s="266">
        <f>((((3.5+1)*1.3)*1.3)*2)*2</f>
        <v>30.420000000000005</v>
      </c>
      <c r="I21" s="260">
        <v>250</v>
      </c>
      <c r="J21" s="87">
        <f t="shared" si="1"/>
        <v>1097.2199999999998</v>
      </c>
      <c r="K21" s="266">
        <v>214</v>
      </c>
      <c r="L21" s="266">
        <v>27.040000000000003</v>
      </c>
      <c r="M21" s="260">
        <v>150</v>
      </c>
      <c r="N21" s="87">
        <f t="shared" si="2"/>
        <v>391.03999999999996</v>
      </c>
      <c r="O21" s="266">
        <v>625.20000000000005</v>
      </c>
      <c r="P21" s="266">
        <f>((((42.1+1)*1.3)*1.3)*2)*2</f>
        <v>291.35599999999999</v>
      </c>
      <c r="Q21" s="260">
        <v>600</v>
      </c>
      <c r="R21" s="87">
        <f t="shared" si="3"/>
        <v>1516.556</v>
      </c>
      <c r="S21" s="266">
        <v>120</v>
      </c>
      <c r="T21" s="266">
        <f>((((1+3)*1.3)*1.3)*2)*2</f>
        <v>27.040000000000003</v>
      </c>
      <c r="U21" s="260">
        <v>80</v>
      </c>
      <c r="V21" s="87">
        <f t="shared" si="4"/>
        <v>227.04</v>
      </c>
      <c r="W21" s="266">
        <v>120</v>
      </c>
      <c r="X21" s="266">
        <v>0</v>
      </c>
      <c r="Y21" s="260">
        <v>70</v>
      </c>
      <c r="Z21" s="87">
        <f t="shared" si="5"/>
        <v>190</v>
      </c>
      <c r="AA21" s="94">
        <f t="shared" si="12"/>
        <v>3978.4799999999996</v>
      </c>
      <c r="AB21" s="96" t="s">
        <v>53</v>
      </c>
      <c r="AC21" s="138"/>
      <c r="AD21" s="146">
        <v>14</v>
      </c>
      <c r="AE21" s="147" t="s">
        <v>17</v>
      </c>
      <c r="AF21" s="141">
        <f t="shared" si="15"/>
        <v>2186.3999999999996</v>
      </c>
      <c r="AG21" s="141">
        <f t="shared" si="15"/>
        <v>392.08000000000004</v>
      </c>
      <c r="AH21" s="141">
        <f t="shared" si="16"/>
        <v>1400</v>
      </c>
      <c r="AI21" s="108"/>
      <c r="AJ21" s="148">
        <v>14</v>
      </c>
      <c r="AK21" s="149" t="s">
        <v>17</v>
      </c>
      <c r="AL21" s="144">
        <f t="shared" si="8"/>
        <v>2186.3999999999996</v>
      </c>
      <c r="AM21" s="145">
        <f t="shared" si="9"/>
        <v>0.5495566145864752</v>
      </c>
      <c r="AN21" s="144">
        <f t="shared" si="13"/>
        <v>392.08000000000004</v>
      </c>
      <c r="AO21" s="145">
        <f t="shared" si="10"/>
        <v>9.8550200076411118E-2</v>
      </c>
      <c r="AP21" s="144">
        <f t="shared" si="14"/>
        <v>1400</v>
      </c>
      <c r="AQ21" s="145">
        <f t="shared" si="11"/>
        <v>0.35189318533711372</v>
      </c>
    </row>
    <row r="22" spans="1:43" x14ac:dyDescent="0.25">
      <c r="A22" s="156">
        <v>15</v>
      </c>
      <c r="B22" s="157" t="s">
        <v>18</v>
      </c>
      <c r="C22" s="266">
        <v>51.2</v>
      </c>
      <c r="D22" s="266">
        <f>((((1.2+1)*1.3)*1.3)*2)*2</f>
        <v>14.872000000000002</v>
      </c>
      <c r="E22" s="260">
        <v>20</v>
      </c>
      <c r="F22" s="87">
        <f t="shared" si="0"/>
        <v>86.072000000000003</v>
      </c>
      <c r="G22" s="266">
        <v>419.2</v>
      </c>
      <c r="H22" s="266">
        <v>22.984000000000002</v>
      </c>
      <c r="I22" s="260">
        <v>380</v>
      </c>
      <c r="J22" s="87">
        <f t="shared" si="1"/>
        <v>822.18399999999997</v>
      </c>
      <c r="K22" s="266">
        <v>216</v>
      </c>
      <c r="L22" s="266">
        <v>8.1120000000000001</v>
      </c>
      <c r="M22" s="260">
        <v>240</v>
      </c>
      <c r="N22" s="87">
        <f t="shared" si="2"/>
        <v>464.11199999999997</v>
      </c>
      <c r="O22" s="266">
        <v>815.2</v>
      </c>
      <c r="P22" s="266">
        <v>305.55200000000002</v>
      </c>
      <c r="Q22" s="260">
        <v>600</v>
      </c>
      <c r="R22" s="87">
        <f t="shared" si="3"/>
        <v>1720.752</v>
      </c>
      <c r="S22" s="266">
        <v>120</v>
      </c>
      <c r="T22" s="266">
        <f>((((1+1)*1.3)*1.3)*2)*2</f>
        <v>13.520000000000001</v>
      </c>
      <c r="U22" s="260">
        <v>20</v>
      </c>
      <c r="V22" s="87">
        <f t="shared" si="4"/>
        <v>153.52000000000001</v>
      </c>
      <c r="W22" s="266">
        <v>100</v>
      </c>
      <c r="X22" s="266">
        <v>6.7600000000000007</v>
      </c>
      <c r="Y22" s="260">
        <v>90</v>
      </c>
      <c r="Z22" s="87">
        <f t="shared" si="5"/>
        <v>196.76</v>
      </c>
      <c r="AA22" s="94">
        <f t="shared" si="12"/>
        <v>3443.3999999999996</v>
      </c>
      <c r="AB22" s="96" t="s">
        <v>53</v>
      </c>
      <c r="AC22" s="138"/>
      <c r="AD22" s="146">
        <v>15</v>
      </c>
      <c r="AE22" s="147" t="s">
        <v>18</v>
      </c>
      <c r="AF22" s="141">
        <f t="shared" si="15"/>
        <v>1721.6</v>
      </c>
      <c r="AG22" s="141">
        <f t="shared" si="15"/>
        <v>371.8</v>
      </c>
      <c r="AH22" s="141">
        <f t="shared" si="16"/>
        <v>1350</v>
      </c>
      <c r="AI22" s="108"/>
      <c r="AJ22" s="148">
        <v>15</v>
      </c>
      <c r="AK22" s="149" t="s">
        <v>18</v>
      </c>
      <c r="AL22" s="144">
        <f t="shared" si="8"/>
        <v>1721.6</v>
      </c>
      <c r="AM22" s="145">
        <f t="shared" si="9"/>
        <v>0.49997095893593546</v>
      </c>
      <c r="AN22" s="144">
        <f t="shared" si="13"/>
        <v>371.8</v>
      </c>
      <c r="AO22" s="145">
        <f t="shared" si="10"/>
        <v>0.10797467619213569</v>
      </c>
      <c r="AP22" s="144">
        <f t="shared" si="14"/>
        <v>1350</v>
      </c>
      <c r="AQ22" s="145">
        <f t="shared" si="11"/>
        <v>0.39205436487192896</v>
      </c>
    </row>
    <row r="23" spans="1:43" x14ac:dyDescent="0.25">
      <c r="A23" s="156">
        <v>16</v>
      </c>
      <c r="B23" s="157" t="s">
        <v>19</v>
      </c>
      <c r="C23" s="266">
        <v>332.8</v>
      </c>
      <c r="D23" s="266">
        <v>20.28</v>
      </c>
      <c r="E23" s="260">
        <v>105</v>
      </c>
      <c r="F23" s="87">
        <f t="shared" si="0"/>
        <v>458.08000000000004</v>
      </c>
      <c r="G23" s="266">
        <v>414.8</v>
      </c>
      <c r="H23" s="266">
        <f>((((4.7+1)*1.3)*1.3)*2)*2</f>
        <v>38.532000000000004</v>
      </c>
      <c r="I23" s="260">
        <v>330</v>
      </c>
      <c r="J23" s="87">
        <f t="shared" si="1"/>
        <v>783.33199999999999</v>
      </c>
      <c r="K23" s="266">
        <v>11.6</v>
      </c>
      <c r="L23" s="266">
        <v>4.7319999999999993</v>
      </c>
      <c r="M23" s="260"/>
      <c r="N23" s="87">
        <f t="shared" si="2"/>
        <v>16.332000000000001</v>
      </c>
      <c r="O23" s="266">
        <v>418.8</v>
      </c>
      <c r="P23" s="266">
        <f>((((42.1+1)*1.3)*1.3)*2)*2</f>
        <v>291.35599999999999</v>
      </c>
      <c r="Q23" s="260">
        <v>450</v>
      </c>
      <c r="R23" s="87">
        <f t="shared" si="3"/>
        <v>1160.1559999999999</v>
      </c>
      <c r="S23" s="266">
        <v>120</v>
      </c>
      <c r="T23" s="266">
        <f>((((1+2)*1.3)*1.3)*2)*2</f>
        <v>20.28</v>
      </c>
      <c r="U23" s="260">
        <v>50</v>
      </c>
      <c r="V23" s="87">
        <f t="shared" si="4"/>
        <v>190.28</v>
      </c>
      <c r="W23" s="266">
        <v>0</v>
      </c>
      <c r="X23" s="266">
        <v>0</v>
      </c>
      <c r="Y23" s="260">
        <v>5</v>
      </c>
      <c r="Z23" s="87">
        <f t="shared" si="5"/>
        <v>5</v>
      </c>
      <c r="AA23" s="94">
        <f t="shared" si="12"/>
        <v>2613.1800000000003</v>
      </c>
      <c r="AB23" s="96" t="s">
        <v>53</v>
      </c>
      <c r="AC23" s="138"/>
      <c r="AD23" s="146">
        <v>16</v>
      </c>
      <c r="AE23" s="147" t="s">
        <v>19</v>
      </c>
      <c r="AF23" s="141">
        <f t="shared" si="15"/>
        <v>1298</v>
      </c>
      <c r="AG23" s="141">
        <f t="shared" si="15"/>
        <v>375.17999999999995</v>
      </c>
      <c r="AH23" s="141">
        <f t="shared" si="16"/>
        <v>940</v>
      </c>
      <c r="AI23" s="108"/>
      <c r="AJ23" s="148">
        <v>16</v>
      </c>
      <c r="AK23" s="149" t="s">
        <v>19</v>
      </c>
      <c r="AL23" s="144">
        <f t="shared" si="8"/>
        <v>1298</v>
      </c>
      <c r="AM23" s="145">
        <f t="shared" si="9"/>
        <v>0.49671281733367001</v>
      </c>
      <c r="AN23" s="144">
        <f t="shared" si="13"/>
        <v>375.17999999999995</v>
      </c>
      <c r="AO23" s="145">
        <f t="shared" si="10"/>
        <v>0.14357219938924984</v>
      </c>
      <c r="AP23" s="144">
        <f t="shared" si="14"/>
        <v>940</v>
      </c>
      <c r="AQ23" s="145">
        <f t="shared" si="11"/>
        <v>0.35971498327708001</v>
      </c>
    </row>
    <row r="24" spans="1:43" x14ac:dyDescent="0.25">
      <c r="A24" s="156">
        <v>17</v>
      </c>
      <c r="B24" s="157" t="s">
        <v>20</v>
      </c>
      <c r="C24" s="266">
        <v>0</v>
      </c>
      <c r="D24" s="266">
        <v>0</v>
      </c>
      <c r="E24" s="260">
        <v>0</v>
      </c>
      <c r="F24" s="87">
        <f t="shared" si="0"/>
        <v>0</v>
      </c>
      <c r="G24" s="266">
        <v>0</v>
      </c>
      <c r="H24" s="266">
        <v>0</v>
      </c>
      <c r="I24" s="260">
        <v>0</v>
      </c>
      <c r="J24" s="87">
        <f t="shared" si="1"/>
        <v>0</v>
      </c>
      <c r="K24" s="266">
        <v>0</v>
      </c>
      <c r="L24" s="266">
        <v>0</v>
      </c>
      <c r="M24" s="260"/>
      <c r="N24" s="87">
        <f t="shared" si="2"/>
        <v>0</v>
      </c>
      <c r="O24" s="266">
        <v>0</v>
      </c>
      <c r="P24" s="266">
        <v>0</v>
      </c>
      <c r="Q24" s="260">
        <v>0</v>
      </c>
      <c r="R24" s="87">
        <f t="shared" si="3"/>
        <v>0</v>
      </c>
      <c r="S24" s="266">
        <v>0</v>
      </c>
      <c r="T24" s="266">
        <v>13.520000000000001</v>
      </c>
      <c r="U24" s="260"/>
      <c r="V24" s="87">
        <f t="shared" si="4"/>
        <v>13.520000000000001</v>
      </c>
      <c r="W24" s="266">
        <v>0</v>
      </c>
      <c r="X24" s="266">
        <v>0</v>
      </c>
      <c r="Y24" s="260"/>
      <c r="Z24" s="87">
        <f t="shared" si="5"/>
        <v>0</v>
      </c>
      <c r="AA24" s="94">
        <f t="shared" si="12"/>
        <v>13.520000000000001</v>
      </c>
      <c r="AB24" s="96" t="s">
        <v>53</v>
      </c>
      <c r="AC24" s="138"/>
      <c r="AD24" s="146">
        <v>17</v>
      </c>
      <c r="AE24" s="147" t="s">
        <v>20</v>
      </c>
      <c r="AF24" s="141">
        <f t="shared" si="15"/>
        <v>0</v>
      </c>
      <c r="AG24" s="141">
        <f t="shared" si="15"/>
        <v>13.520000000000001</v>
      </c>
      <c r="AH24" s="141">
        <f t="shared" si="16"/>
        <v>0</v>
      </c>
      <c r="AI24" s="108"/>
      <c r="AJ24" s="148">
        <v>17</v>
      </c>
      <c r="AK24" s="149" t="s">
        <v>20</v>
      </c>
      <c r="AL24" s="144">
        <f t="shared" si="8"/>
        <v>0</v>
      </c>
      <c r="AM24" s="145">
        <f t="shared" si="9"/>
        <v>0</v>
      </c>
      <c r="AN24" s="144">
        <f t="shared" si="13"/>
        <v>13.520000000000001</v>
      </c>
      <c r="AO24" s="145">
        <f t="shared" si="10"/>
        <v>1</v>
      </c>
      <c r="AP24" s="144">
        <f t="shared" si="14"/>
        <v>0</v>
      </c>
      <c r="AQ24" s="145">
        <f t="shared" si="11"/>
        <v>0</v>
      </c>
    </row>
    <row r="25" spans="1:43" x14ac:dyDescent="0.25">
      <c r="A25" s="156">
        <v>18</v>
      </c>
      <c r="B25" s="157" t="s">
        <v>21</v>
      </c>
      <c r="C25" s="266">
        <v>0</v>
      </c>
      <c r="D25" s="266">
        <v>0</v>
      </c>
      <c r="E25" s="260">
        <v>0</v>
      </c>
      <c r="F25" s="87">
        <f t="shared" si="0"/>
        <v>0</v>
      </c>
      <c r="G25" s="266">
        <v>0</v>
      </c>
      <c r="H25" s="266">
        <v>0</v>
      </c>
      <c r="I25" s="260">
        <v>0</v>
      </c>
      <c r="J25" s="87">
        <f t="shared" si="1"/>
        <v>0</v>
      </c>
      <c r="K25" s="266">
        <v>0</v>
      </c>
      <c r="L25" s="266">
        <v>0</v>
      </c>
      <c r="M25" s="260"/>
      <c r="N25" s="87">
        <f t="shared" si="2"/>
        <v>0</v>
      </c>
      <c r="O25" s="266">
        <v>0</v>
      </c>
      <c r="P25" s="266">
        <v>0</v>
      </c>
      <c r="Q25" s="260">
        <v>0</v>
      </c>
      <c r="R25" s="87">
        <f t="shared" si="3"/>
        <v>0</v>
      </c>
      <c r="S25" s="266">
        <v>0</v>
      </c>
      <c r="T25" s="266">
        <v>6.7600000000000007</v>
      </c>
      <c r="U25" s="260"/>
      <c r="V25" s="87">
        <f t="shared" si="4"/>
        <v>6.7600000000000007</v>
      </c>
      <c r="W25" s="266">
        <v>0</v>
      </c>
      <c r="X25" s="266">
        <v>0</v>
      </c>
      <c r="Y25" s="260"/>
      <c r="Z25" s="87">
        <f t="shared" si="5"/>
        <v>0</v>
      </c>
      <c r="AA25" s="94">
        <f t="shared" si="12"/>
        <v>6.7600000000000007</v>
      </c>
      <c r="AB25" s="96" t="s">
        <v>53</v>
      </c>
      <c r="AC25" s="138"/>
      <c r="AD25" s="146">
        <v>18</v>
      </c>
      <c r="AE25" s="147" t="s">
        <v>21</v>
      </c>
      <c r="AF25" s="141">
        <f t="shared" si="15"/>
        <v>0</v>
      </c>
      <c r="AG25" s="141">
        <f t="shared" si="15"/>
        <v>6.7600000000000007</v>
      </c>
      <c r="AH25" s="141">
        <f t="shared" si="16"/>
        <v>0</v>
      </c>
      <c r="AI25" s="108"/>
      <c r="AJ25" s="148">
        <v>18</v>
      </c>
      <c r="AK25" s="149" t="s">
        <v>21</v>
      </c>
      <c r="AL25" s="144">
        <f t="shared" si="8"/>
        <v>0</v>
      </c>
      <c r="AM25" s="145">
        <f t="shared" si="9"/>
        <v>0</v>
      </c>
      <c r="AN25" s="144">
        <f t="shared" si="13"/>
        <v>6.7600000000000007</v>
      </c>
      <c r="AO25" s="145">
        <f t="shared" si="10"/>
        <v>1</v>
      </c>
      <c r="AP25" s="144">
        <f t="shared" si="14"/>
        <v>0</v>
      </c>
      <c r="AQ25" s="145">
        <f t="shared" si="11"/>
        <v>0</v>
      </c>
    </row>
    <row r="26" spans="1:43" x14ac:dyDescent="0.25">
      <c r="A26" s="156">
        <v>19</v>
      </c>
      <c r="B26" s="157" t="s">
        <v>22</v>
      </c>
      <c r="C26" s="266">
        <v>208.8</v>
      </c>
      <c r="D26" s="266">
        <f>((((2+1)*1.3)*1.3)*2)*2</f>
        <v>20.28</v>
      </c>
      <c r="E26" s="260">
        <v>205</v>
      </c>
      <c r="F26" s="87">
        <f t="shared" si="0"/>
        <v>434.08000000000004</v>
      </c>
      <c r="G26" s="266">
        <v>418</v>
      </c>
      <c r="H26" s="266">
        <f>((((5+1)*1.3)*1.3)*2)*2</f>
        <v>40.56</v>
      </c>
      <c r="I26" s="260">
        <v>250</v>
      </c>
      <c r="J26" s="87">
        <f t="shared" si="1"/>
        <v>708.56</v>
      </c>
      <c r="K26" s="266">
        <v>219.2</v>
      </c>
      <c r="L26" s="266">
        <v>20.28</v>
      </c>
      <c r="M26" s="260">
        <v>150</v>
      </c>
      <c r="N26" s="87">
        <f t="shared" si="2"/>
        <v>389.48</v>
      </c>
      <c r="O26" s="266">
        <v>423.6</v>
      </c>
      <c r="P26" s="266">
        <f>((((46.5+1)*1.3)*1.3)*2)*2</f>
        <v>321.10000000000002</v>
      </c>
      <c r="Q26" s="260">
        <v>550</v>
      </c>
      <c r="R26" s="87">
        <f t="shared" si="3"/>
        <v>1294.7</v>
      </c>
      <c r="S26" s="266">
        <v>60</v>
      </c>
      <c r="T26" s="266">
        <f>((((1+1)*1.3)*1.3)*2)*2</f>
        <v>13.520000000000001</v>
      </c>
      <c r="U26" s="260">
        <v>55</v>
      </c>
      <c r="V26" s="87">
        <f t="shared" si="4"/>
        <v>128.51999999999998</v>
      </c>
      <c r="W26" s="266">
        <v>0</v>
      </c>
      <c r="X26" s="266">
        <v>6.7600000000000007</v>
      </c>
      <c r="Y26" s="260">
        <v>5</v>
      </c>
      <c r="Z26" s="87">
        <f t="shared" si="5"/>
        <v>11.760000000000002</v>
      </c>
      <c r="AA26" s="94">
        <f t="shared" si="12"/>
        <v>2967.1</v>
      </c>
      <c r="AB26" s="96" t="s">
        <v>53</v>
      </c>
      <c r="AC26" s="138"/>
      <c r="AD26" s="146">
        <v>19</v>
      </c>
      <c r="AE26" s="147" t="s">
        <v>22</v>
      </c>
      <c r="AF26" s="141">
        <f t="shared" si="15"/>
        <v>1329.6</v>
      </c>
      <c r="AG26" s="141">
        <f t="shared" si="15"/>
        <v>422.5</v>
      </c>
      <c r="AH26" s="141">
        <f t="shared" si="16"/>
        <v>1215</v>
      </c>
      <c r="AI26" s="108"/>
      <c r="AJ26" s="148">
        <v>19</v>
      </c>
      <c r="AK26" s="149" t="s">
        <v>22</v>
      </c>
      <c r="AL26" s="144">
        <f t="shared" si="8"/>
        <v>1329.6</v>
      </c>
      <c r="AM26" s="145">
        <f t="shared" si="9"/>
        <v>0.44811432038016918</v>
      </c>
      <c r="AN26" s="144">
        <f t="shared" si="13"/>
        <v>422.5</v>
      </c>
      <c r="AO26" s="145">
        <f t="shared" si="10"/>
        <v>0.14239493107748308</v>
      </c>
      <c r="AP26" s="144">
        <f t="shared" si="14"/>
        <v>1215</v>
      </c>
      <c r="AQ26" s="145">
        <f t="shared" si="11"/>
        <v>0.40949074854234774</v>
      </c>
    </row>
    <row r="27" spans="1:43" x14ac:dyDescent="0.25">
      <c r="A27" s="156">
        <v>20</v>
      </c>
      <c r="B27" s="157" t="s">
        <v>23</v>
      </c>
      <c r="C27" s="266">
        <v>210.8</v>
      </c>
      <c r="D27" s="266">
        <v>10.14</v>
      </c>
      <c r="E27" s="260">
        <v>5</v>
      </c>
      <c r="F27" s="87">
        <f t="shared" si="0"/>
        <v>225.94</v>
      </c>
      <c r="G27" s="266">
        <v>818.4</v>
      </c>
      <c r="H27" s="266">
        <v>20.28</v>
      </c>
      <c r="I27" s="260">
        <v>300</v>
      </c>
      <c r="J27" s="87">
        <f t="shared" si="1"/>
        <v>1138.6799999999998</v>
      </c>
      <c r="K27" s="266">
        <v>214</v>
      </c>
      <c r="L27" s="266">
        <v>19.603999999999999</v>
      </c>
      <c r="M27" s="260">
        <v>50</v>
      </c>
      <c r="N27" s="87">
        <f t="shared" si="2"/>
        <v>283.60399999999998</v>
      </c>
      <c r="O27" s="266">
        <v>816.8</v>
      </c>
      <c r="P27" s="266">
        <v>279.86400000000003</v>
      </c>
      <c r="Q27" s="260">
        <v>600</v>
      </c>
      <c r="R27" s="87">
        <f t="shared" si="3"/>
        <v>1696.664</v>
      </c>
      <c r="S27" s="266">
        <v>40</v>
      </c>
      <c r="T27" s="266">
        <f>((((1+3)*1.3)*1.3)*2)*2</f>
        <v>27.040000000000003</v>
      </c>
      <c r="U27" s="260">
        <v>20</v>
      </c>
      <c r="V27" s="87">
        <f t="shared" si="4"/>
        <v>87.04</v>
      </c>
      <c r="W27" s="266">
        <v>0</v>
      </c>
      <c r="X27" s="266">
        <v>0</v>
      </c>
      <c r="Y27" s="260"/>
      <c r="Z27" s="87">
        <f t="shared" si="5"/>
        <v>0</v>
      </c>
      <c r="AA27" s="94">
        <f t="shared" si="12"/>
        <v>3431.9279999999999</v>
      </c>
      <c r="AB27" s="96" t="s">
        <v>53</v>
      </c>
      <c r="AC27" s="138"/>
      <c r="AD27" s="146">
        <v>20</v>
      </c>
      <c r="AE27" s="147" t="s">
        <v>23</v>
      </c>
      <c r="AF27" s="141">
        <f t="shared" si="15"/>
        <v>2100</v>
      </c>
      <c r="AG27" s="141">
        <f t="shared" si="15"/>
        <v>356.92800000000005</v>
      </c>
      <c r="AH27" s="141">
        <f t="shared" si="16"/>
        <v>975</v>
      </c>
      <c r="AI27" s="108"/>
      <c r="AJ27" s="148">
        <v>20</v>
      </c>
      <c r="AK27" s="149" t="s">
        <v>23</v>
      </c>
      <c r="AL27" s="144">
        <f t="shared" si="8"/>
        <v>2100</v>
      </c>
      <c r="AM27" s="145">
        <f t="shared" si="9"/>
        <v>0.61190094897095748</v>
      </c>
      <c r="AN27" s="144">
        <f t="shared" si="13"/>
        <v>356.92800000000005</v>
      </c>
      <c r="AO27" s="145">
        <f t="shared" si="10"/>
        <v>0.10400218186395521</v>
      </c>
      <c r="AP27" s="144">
        <f t="shared" si="14"/>
        <v>975</v>
      </c>
      <c r="AQ27" s="145">
        <f t="shared" si="11"/>
        <v>0.28409686916508736</v>
      </c>
    </row>
    <row r="28" spans="1:43" x14ac:dyDescent="0.25">
      <c r="A28" s="156">
        <v>21</v>
      </c>
      <c r="B28" s="157" t="s">
        <v>24</v>
      </c>
      <c r="C28" s="266">
        <v>174</v>
      </c>
      <c r="D28" s="266">
        <f>((((5.7+1)*1.3)*1.3)*2)*2</f>
        <v>45.292000000000009</v>
      </c>
      <c r="E28" s="260">
        <v>100</v>
      </c>
      <c r="F28" s="87">
        <f t="shared" si="0"/>
        <v>319.29200000000003</v>
      </c>
      <c r="G28" s="266">
        <v>415.6</v>
      </c>
      <c r="H28" s="266">
        <f>((((3+1)*1.3)*1.3)*2)*2</f>
        <v>27.040000000000003</v>
      </c>
      <c r="I28" s="260">
        <v>340</v>
      </c>
      <c r="J28" s="87">
        <f t="shared" si="1"/>
        <v>782.6400000000001</v>
      </c>
      <c r="K28" s="266">
        <v>416.8</v>
      </c>
      <c r="L28" s="266">
        <v>4.7319999999999993</v>
      </c>
      <c r="M28" s="260">
        <v>200</v>
      </c>
      <c r="N28" s="87">
        <f t="shared" si="2"/>
        <v>621.53200000000004</v>
      </c>
      <c r="O28" s="266">
        <v>217.2</v>
      </c>
      <c r="P28" s="266">
        <f>((((40.7+1)*1.3)*1.3)*2)*2</f>
        <v>281.89200000000005</v>
      </c>
      <c r="Q28" s="260">
        <v>450</v>
      </c>
      <c r="R28" s="87">
        <f t="shared" si="3"/>
        <v>949.0920000000001</v>
      </c>
      <c r="S28" s="266">
        <v>40</v>
      </c>
      <c r="T28" s="266">
        <f>((((1+1)*1.3)*1.3)*2)*2</f>
        <v>13.520000000000001</v>
      </c>
      <c r="U28" s="260">
        <v>30</v>
      </c>
      <c r="V28" s="87">
        <f t="shared" si="4"/>
        <v>83.52000000000001</v>
      </c>
      <c r="W28" s="266">
        <v>400</v>
      </c>
      <c r="X28" s="266">
        <v>0</v>
      </c>
      <c r="Y28" s="260">
        <v>280</v>
      </c>
      <c r="Z28" s="87">
        <f t="shared" si="5"/>
        <v>680</v>
      </c>
      <c r="AA28" s="94">
        <f t="shared" si="12"/>
        <v>3436.0760000000005</v>
      </c>
      <c r="AB28" s="96" t="s">
        <v>53</v>
      </c>
      <c r="AC28" s="138"/>
      <c r="AD28" s="146">
        <v>21</v>
      </c>
      <c r="AE28" s="147" t="s">
        <v>24</v>
      </c>
      <c r="AF28" s="141">
        <f t="shared" si="15"/>
        <v>1663.6000000000001</v>
      </c>
      <c r="AG28" s="141">
        <f t="shared" si="15"/>
        <v>372.47600000000006</v>
      </c>
      <c r="AH28" s="141">
        <f t="shared" si="16"/>
        <v>1400</v>
      </c>
      <c r="AI28" s="108"/>
      <c r="AJ28" s="148">
        <v>21</v>
      </c>
      <c r="AK28" s="149" t="s">
        <v>24</v>
      </c>
      <c r="AL28" s="144">
        <f t="shared" si="8"/>
        <v>1663.6000000000001</v>
      </c>
      <c r="AM28" s="145">
        <f t="shared" si="9"/>
        <v>0.48415692784443648</v>
      </c>
      <c r="AN28" s="144">
        <f t="shared" si="13"/>
        <v>372.47600000000006</v>
      </c>
      <c r="AO28" s="145">
        <f t="shared" si="10"/>
        <v>0.10840156038457822</v>
      </c>
      <c r="AP28" s="144">
        <f t="shared" si="14"/>
        <v>1400</v>
      </c>
      <c r="AQ28" s="145">
        <f t="shared" si="11"/>
        <v>0.4074415117709852</v>
      </c>
    </row>
    <row r="29" spans="1:43" x14ac:dyDescent="0.25">
      <c r="A29" s="156">
        <v>22</v>
      </c>
      <c r="B29" s="157" t="s">
        <v>25</v>
      </c>
      <c r="C29" s="266">
        <v>94.8</v>
      </c>
      <c r="D29" s="266">
        <v>9.4639999999999986</v>
      </c>
      <c r="E29" s="260">
        <v>90</v>
      </c>
      <c r="F29" s="87">
        <f t="shared" si="0"/>
        <v>194.26400000000001</v>
      </c>
      <c r="G29" s="266">
        <v>812.8</v>
      </c>
      <c r="H29" s="266">
        <v>31.096</v>
      </c>
      <c r="I29" s="260">
        <v>400</v>
      </c>
      <c r="J29" s="87">
        <f t="shared" si="1"/>
        <v>1243.896</v>
      </c>
      <c r="K29" s="266">
        <v>814.8</v>
      </c>
      <c r="L29" s="266">
        <v>25.687999999999999</v>
      </c>
      <c r="M29" s="260">
        <v>200</v>
      </c>
      <c r="N29" s="87">
        <f t="shared" si="2"/>
        <v>1040.4879999999998</v>
      </c>
      <c r="O29" s="266">
        <v>1222.8</v>
      </c>
      <c r="P29" s="266">
        <v>318.39600000000002</v>
      </c>
      <c r="Q29" s="260">
        <v>500</v>
      </c>
      <c r="R29" s="87">
        <f t="shared" si="3"/>
        <v>2041.1959999999999</v>
      </c>
      <c r="S29" s="266">
        <v>100</v>
      </c>
      <c r="T29" s="266">
        <v>6.7600000000000007</v>
      </c>
      <c r="U29" s="260">
        <v>65</v>
      </c>
      <c r="V29" s="87">
        <f t="shared" si="4"/>
        <v>171.76</v>
      </c>
      <c r="W29" s="266">
        <v>0</v>
      </c>
      <c r="X29" s="266">
        <v>6.7600000000000007</v>
      </c>
      <c r="Y29" s="260">
        <v>60</v>
      </c>
      <c r="Z29" s="87">
        <f t="shared" si="5"/>
        <v>66.760000000000005</v>
      </c>
      <c r="AA29" s="94">
        <f t="shared" si="12"/>
        <v>4758.3639999999996</v>
      </c>
      <c r="AB29" s="96" t="s">
        <v>53</v>
      </c>
      <c r="AC29" s="138"/>
      <c r="AD29" s="146">
        <v>22</v>
      </c>
      <c r="AE29" s="147" t="s">
        <v>25</v>
      </c>
      <c r="AF29" s="141">
        <f t="shared" si="15"/>
        <v>3045.2</v>
      </c>
      <c r="AG29" s="141">
        <f t="shared" si="15"/>
        <v>398.16399999999999</v>
      </c>
      <c r="AH29" s="141">
        <f t="shared" si="16"/>
        <v>1315</v>
      </c>
      <c r="AI29" s="108"/>
      <c r="AJ29" s="148">
        <v>22</v>
      </c>
      <c r="AK29" s="149" t="s">
        <v>25</v>
      </c>
      <c r="AL29" s="144">
        <f t="shared" si="8"/>
        <v>3045.2</v>
      </c>
      <c r="AM29" s="145">
        <f t="shared" si="9"/>
        <v>0.63996785449789051</v>
      </c>
      <c r="AN29" s="144">
        <f t="shared" si="13"/>
        <v>398.16399999999999</v>
      </c>
      <c r="AO29" s="145">
        <f t="shared" si="10"/>
        <v>8.3676658616280722E-2</v>
      </c>
      <c r="AP29" s="144">
        <f t="shared" si="14"/>
        <v>1315</v>
      </c>
      <c r="AQ29" s="145">
        <f t="shared" si="11"/>
        <v>0.27635548688582884</v>
      </c>
    </row>
    <row r="30" spans="1:43" x14ac:dyDescent="0.25">
      <c r="A30" s="156">
        <v>23</v>
      </c>
      <c r="B30" s="157" t="s">
        <v>26</v>
      </c>
      <c r="C30" s="266">
        <v>170</v>
      </c>
      <c r="D30" s="266">
        <f>((((1.2+1)*1.3)*1.3)*2)*2</f>
        <v>14.872000000000002</v>
      </c>
      <c r="E30" s="260">
        <v>110</v>
      </c>
      <c r="F30" s="87">
        <f t="shared" si="0"/>
        <v>294.87200000000001</v>
      </c>
      <c r="G30" s="266">
        <v>820.4</v>
      </c>
      <c r="H30" s="266">
        <f>((((3.5+1)*1.3)*1.3)*2)*2</f>
        <v>30.420000000000005</v>
      </c>
      <c r="I30" s="260">
        <v>500</v>
      </c>
      <c r="J30" s="87">
        <f t="shared" si="1"/>
        <v>1350.82</v>
      </c>
      <c r="K30" s="266">
        <v>420.8</v>
      </c>
      <c r="L30" s="266">
        <v>16.900000000000002</v>
      </c>
      <c r="M30" s="260">
        <v>290</v>
      </c>
      <c r="N30" s="87">
        <f t="shared" si="2"/>
        <v>727.7</v>
      </c>
      <c r="O30" s="266">
        <v>825.2</v>
      </c>
      <c r="P30" s="266">
        <f>((((42.5+1)*1.3)*1.3)*2)*2</f>
        <v>294.06000000000006</v>
      </c>
      <c r="Q30" s="260">
        <v>1000</v>
      </c>
      <c r="R30" s="87">
        <f t="shared" si="3"/>
        <v>2119.2600000000002</v>
      </c>
      <c r="S30" s="266">
        <v>120</v>
      </c>
      <c r="T30" s="266">
        <v>6.7600000000000007</v>
      </c>
      <c r="U30" s="260">
        <v>110</v>
      </c>
      <c r="V30" s="87">
        <f t="shared" si="4"/>
        <v>236.76</v>
      </c>
      <c r="W30" s="266">
        <v>200</v>
      </c>
      <c r="X30" s="266">
        <v>0</v>
      </c>
      <c r="Y30" s="260">
        <v>150</v>
      </c>
      <c r="Z30" s="87">
        <f t="shared" si="5"/>
        <v>350</v>
      </c>
      <c r="AA30" s="94">
        <f t="shared" si="12"/>
        <v>5079.4120000000003</v>
      </c>
      <c r="AB30" s="96" t="s">
        <v>53</v>
      </c>
      <c r="AC30" s="138"/>
      <c r="AD30" s="146">
        <v>23</v>
      </c>
      <c r="AE30" s="147" t="s">
        <v>26</v>
      </c>
      <c r="AF30" s="141">
        <f t="shared" si="15"/>
        <v>2556.4</v>
      </c>
      <c r="AG30" s="141">
        <f t="shared" si="15"/>
        <v>363.01200000000006</v>
      </c>
      <c r="AH30" s="141">
        <f t="shared" si="16"/>
        <v>2160</v>
      </c>
      <c r="AI30" s="108"/>
      <c r="AJ30" s="148">
        <v>23</v>
      </c>
      <c r="AK30" s="149" t="s">
        <v>26</v>
      </c>
      <c r="AL30" s="144">
        <f t="shared" si="8"/>
        <v>2556.4</v>
      </c>
      <c r="AM30" s="145">
        <f t="shared" si="9"/>
        <v>0.5032866008900243</v>
      </c>
      <c r="AN30" s="144">
        <f t="shared" si="13"/>
        <v>363.01200000000006</v>
      </c>
      <c r="AO30" s="145">
        <f t="shared" si="10"/>
        <v>7.1467327320563878E-2</v>
      </c>
      <c r="AP30" s="144">
        <f t="shared" si="14"/>
        <v>2160</v>
      </c>
      <c r="AQ30" s="145">
        <f t="shared" si="11"/>
        <v>0.42524607178941182</v>
      </c>
    </row>
    <row r="31" spans="1:43" x14ac:dyDescent="0.25">
      <c r="A31" s="156">
        <v>24</v>
      </c>
      <c r="B31" s="157" t="s">
        <v>27</v>
      </c>
      <c r="C31" s="266">
        <v>0</v>
      </c>
      <c r="D31" s="266">
        <v>0</v>
      </c>
      <c r="E31" s="260">
        <v>0</v>
      </c>
      <c r="F31" s="87">
        <f t="shared" si="0"/>
        <v>0</v>
      </c>
      <c r="G31" s="266">
        <v>200</v>
      </c>
      <c r="H31" s="266">
        <v>0</v>
      </c>
      <c r="I31" s="260">
        <v>150</v>
      </c>
      <c r="J31" s="87">
        <f t="shared" si="1"/>
        <v>350</v>
      </c>
      <c r="K31" s="266">
        <v>0</v>
      </c>
      <c r="L31" s="266">
        <v>0</v>
      </c>
      <c r="M31" s="260"/>
      <c r="N31" s="87">
        <f t="shared" si="2"/>
        <v>0</v>
      </c>
      <c r="O31" s="266">
        <v>80</v>
      </c>
      <c r="P31" s="266">
        <v>0</v>
      </c>
      <c r="Q31" s="260">
        <v>80</v>
      </c>
      <c r="R31" s="87">
        <f t="shared" si="3"/>
        <v>160</v>
      </c>
      <c r="S31" s="266">
        <v>0</v>
      </c>
      <c r="T31" s="266">
        <v>0</v>
      </c>
      <c r="U31" s="260"/>
      <c r="V31" s="87">
        <f t="shared" si="4"/>
        <v>0</v>
      </c>
      <c r="W31" s="266">
        <v>40</v>
      </c>
      <c r="X31" s="266">
        <v>0</v>
      </c>
      <c r="Y31" s="260">
        <v>100</v>
      </c>
      <c r="Z31" s="87">
        <f t="shared" si="5"/>
        <v>140</v>
      </c>
      <c r="AA31" s="94">
        <f t="shared" si="12"/>
        <v>650</v>
      </c>
      <c r="AB31" s="96" t="s">
        <v>53</v>
      </c>
      <c r="AC31" s="138"/>
      <c r="AD31" s="146">
        <v>24</v>
      </c>
      <c r="AE31" s="147" t="s">
        <v>27</v>
      </c>
      <c r="AF31" s="141">
        <f t="shared" si="15"/>
        <v>320</v>
      </c>
      <c r="AG31" s="141">
        <f t="shared" si="15"/>
        <v>0</v>
      </c>
      <c r="AH31" s="141">
        <f t="shared" si="16"/>
        <v>330</v>
      </c>
      <c r="AI31" s="108"/>
      <c r="AJ31" s="148">
        <v>24</v>
      </c>
      <c r="AK31" s="149" t="s">
        <v>27</v>
      </c>
      <c r="AL31" s="144">
        <f t="shared" si="8"/>
        <v>320</v>
      </c>
      <c r="AM31" s="145">
        <f t="shared" si="9"/>
        <v>0.49230769230769234</v>
      </c>
      <c r="AN31" s="144">
        <f t="shared" si="13"/>
        <v>0</v>
      </c>
      <c r="AO31" s="145">
        <f t="shared" si="10"/>
        <v>0</v>
      </c>
      <c r="AP31" s="144">
        <f t="shared" si="14"/>
        <v>330</v>
      </c>
      <c r="AQ31" s="145">
        <f t="shared" si="11"/>
        <v>0.50769230769230766</v>
      </c>
    </row>
    <row r="32" spans="1:43" x14ac:dyDescent="0.25">
      <c r="A32" s="156">
        <v>25</v>
      </c>
      <c r="B32" s="157" t="s">
        <v>28</v>
      </c>
      <c r="C32" s="266">
        <v>0</v>
      </c>
      <c r="D32" s="266">
        <v>0</v>
      </c>
      <c r="E32" s="260">
        <v>0</v>
      </c>
      <c r="F32" s="87">
        <f t="shared" si="0"/>
        <v>0</v>
      </c>
      <c r="G32" s="266">
        <v>0</v>
      </c>
      <c r="H32" s="266">
        <v>6.7600000000000007</v>
      </c>
      <c r="I32" s="260">
        <v>0</v>
      </c>
      <c r="J32" s="87">
        <f t="shared" si="1"/>
        <v>6.7600000000000007</v>
      </c>
      <c r="K32" s="266">
        <v>0</v>
      </c>
      <c r="L32" s="266">
        <v>0</v>
      </c>
      <c r="M32" s="260"/>
      <c r="N32" s="87">
        <f t="shared" si="2"/>
        <v>0</v>
      </c>
      <c r="O32" s="266">
        <v>0</v>
      </c>
      <c r="P32" s="266">
        <v>0</v>
      </c>
      <c r="Q32" s="260">
        <v>0</v>
      </c>
      <c r="R32" s="87">
        <f t="shared" si="3"/>
        <v>0</v>
      </c>
      <c r="S32" s="266">
        <v>0</v>
      </c>
      <c r="T32" s="266">
        <v>6.7600000000000007</v>
      </c>
      <c r="U32" s="260"/>
      <c r="V32" s="87">
        <f t="shared" si="4"/>
        <v>6.7600000000000007</v>
      </c>
      <c r="W32" s="266">
        <v>0</v>
      </c>
      <c r="X32" s="266">
        <v>0</v>
      </c>
      <c r="Y32" s="260"/>
      <c r="Z32" s="87">
        <f t="shared" si="5"/>
        <v>0</v>
      </c>
      <c r="AA32" s="94">
        <f t="shared" si="12"/>
        <v>13.520000000000001</v>
      </c>
      <c r="AB32" s="96" t="s">
        <v>53</v>
      </c>
      <c r="AC32" s="138"/>
      <c r="AD32" s="146">
        <v>25</v>
      </c>
      <c r="AE32" s="147" t="s">
        <v>28</v>
      </c>
      <c r="AF32" s="141">
        <f t="shared" si="15"/>
        <v>0</v>
      </c>
      <c r="AG32" s="141">
        <f t="shared" si="15"/>
        <v>13.520000000000001</v>
      </c>
      <c r="AH32" s="141">
        <f t="shared" si="16"/>
        <v>0</v>
      </c>
      <c r="AI32" s="108"/>
      <c r="AJ32" s="148">
        <v>25</v>
      </c>
      <c r="AK32" s="149" t="s">
        <v>28</v>
      </c>
      <c r="AL32" s="144">
        <f t="shared" si="8"/>
        <v>0</v>
      </c>
      <c r="AM32" s="145">
        <f t="shared" si="9"/>
        <v>0</v>
      </c>
      <c r="AN32" s="144">
        <f t="shared" si="13"/>
        <v>13.520000000000001</v>
      </c>
      <c r="AO32" s="145">
        <f t="shared" si="10"/>
        <v>1</v>
      </c>
      <c r="AP32" s="144">
        <f t="shared" si="14"/>
        <v>0</v>
      </c>
      <c r="AQ32" s="145">
        <f t="shared" si="11"/>
        <v>0</v>
      </c>
    </row>
    <row r="33" spans="1:43" x14ac:dyDescent="0.25">
      <c r="A33" s="156">
        <v>26</v>
      </c>
      <c r="B33" s="157" t="s">
        <v>29</v>
      </c>
      <c r="C33" s="266">
        <v>132.4</v>
      </c>
      <c r="D33" s="266">
        <f>((((3.8+1)*1.3)*1.3)*2)*2</f>
        <v>32.448</v>
      </c>
      <c r="E33" s="260">
        <v>110</v>
      </c>
      <c r="F33" s="87">
        <f t="shared" si="0"/>
        <v>274.84800000000001</v>
      </c>
      <c r="G33" s="266">
        <v>822.4</v>
      </c>
      <c r="H33" s="266">
        <v>20.28</v>
      </c>
      <c r="I33" s="260">
        <v>320</v>
      </c>
      <c r="J33" s="87">
        <f t="shared" si="1"/>
        <v>1162.6799999999998</v>
      </c>
      <c r="K33" s="266">
        <v>218.8</v>
      </c>
      <c r="L33" s="266">
        <v>14.872000000000002</v>
      </c>
      <c r="M33" s="260">
        <v>50</v>
      </c>
      <c r="N33" s="87">
        <f t="shared" si="2"/>
        <v>283.67200000000003</v>
      </c>
      <c r="O33" s="266">
        <v>138</v>
      </c>
      <c r="P33" s="266">
        <f>((((43.6+1)*1.3)*1.3)*2)*2</f>
        <v>301.49600000000004</v>
      </c>
      <c r="Q33" s="260">
        <v>650</v>
      </c>
      <c r="R33" s="87">
        <f t="shared" si="3"/>
        <v>1089.4960000000001</v>
      </c>
      <c r="S33" s="266">
        <v>80</v>
      </c>
      <c r="T33" s="266">
        <v>6.7600000000000007</v>
      </c>
      <c r="U33" s="260">
        <v>50</v>
      </c>
      <c r="V33" s="87">
        <f t="shared" si="4"/>
        <v>136.76</v>
      </c>
      <c r="W33" s="266">
        <v>0</v>
      </c>
      <c r="X33" s="266">
        <v>6.7600000000000007</v>
      </c>
      <c r="Y33" s="260"/>
      <c r="Z33" s="87">
        <f t="shared" si="5"/>
        <v>6.7600000000000007</v>
      </c>
      <c r="AA33" s="94">
        <f t="shared" si="12"/>
        <v>2954.2160000000003</v>
      </c>
      <c r="AB33" s="96" t="s">
        <v>53</v>
      </c>
      <c r="AC33" s="138"/>
      <c r="AD33" s="146">
        <v>26</v>
      </c>
      <c r="AE33" s="147" t="s">
        <v>29</v>
      </c>
      <c r="AF33" s="141">
        <f t="shared" si="15"/>
        <v>1391.6</v>
      </c>
      <c r="AG33" s="141">
        <f t="shared" si="15"/>
        <v>382.61600000000004</v>
      </c>
      <c r="AH33" s="141">
        <f t="shared" si="16"/>
        <v>1180</v>
      </c>
      <c r="AI33" s="108"/>
      <c r="AJ33" s="148">
        <v>26</v>
      </c>
      <c r="AK33" s="149" t="s">
        <v>29</v>
      </c>
      <c r="AL33" s="144">
        <f t="shared" si="8"/>
        <v>1391.6</v>
      </c>
      <c r="AM33" s="145">
        <f t="shared" si="9"/>
        <v>0.47105560324634344</v>
      </c>
      <c r="AN33" s="144">
        <f t="shared" si="13"/>
        <v>382.61600000000004</v>
      </c>
      <c r="AO33" s="145">
        <f t="shared" si="10"/>
        <v>0.12951524194574804</v>
      </c>
      <c r="AP33" s="144">
        <f t="shared" si="14"/>
        <v>1180</v>
      </c>
      <c r="AQ33" s="145">
        <f t="shared" si="11"/>
        <v>0.39942915480790836</v>
      </c>
    </row>
    <row r="34" spans="1:43" x14ac:dyDescent="0.25">
      <c r="A34" s="156">
        <v>27</v>
      </c>
      <c r="B34" s="157" t="s">
        <v>30</v>
      </c>
      <c r="C34" s="266">
        <v>172.8</v>
      </c>
      <c r="D34" s="266">
        <v>25.012000000000004</v>
      </c>
      <c r="E34" s="260">
        <v>55</v>
      </c>
      <c r="F34" s="87">
        <f t="shared" si="0"/>
        <v>252.81200000000001</v>
      </c>
      <c r="G34" s="266">
        <v>421.2</v>
      </c>
      <c r="H34" s="266">
        <f>((((4.7+1)*1.3)*1.3)*2)*2</f>
        <v>38.532000000000004</v>
      </c>
      <c r="I34" s="260">
        <v>300</v>
      </c>
      <c r="J34" s="87">
        <f t="shared" si="1"/>
        <v>759.73199999999997</v>
      </c>
      <c r="K34" s="266">
        <v>420.4</v>
      </c>
      <c r="L34" s="266">
        <v>17.576000000000004</v>
      </c>
      <c r="M34" s="260">
        <v>100</v>
      </c>
      <c r="N34" s="87">
        <f t="shared" si="2"/>
        <v>537.976</v>
      </c>
      <c r="O34" s="266">
        <v>415.6</v>
      </c>
      <c r="P34" s="266">
        <v>278.512</v>
      </c>
      <c r="Q34" s="260">
        <v>700</v>
      </c>
      <c r="R34" s="87">
        <f t="shared" si="3"/>
        <v>1394.1120000000001</v>
      </c>
      <c r="S34" s="266">
        <v>20</v>
      </c>
      <c r="T34" s="266">
        <v>0</v>
      </c>
      <c r="U34" s="260">
        <v>30</v>
      </c>
      <c r="V34" s="87">
        <f t="shared" si="4"/>
        <v>50</v>
      </c>
      <c r="W34" s="266">
        <v>200</v>
      </c>
      <c r="X34" s="260"/>
      <c r="Y34" s="260">
        <v>150</v>
      </c>
      <c r="Z34" s="87">
        <f t="shared" si="5"/>
        <v>350</v>
      </c>
      <c r="AA34" s="94">
        <f t="shared" si="12"/>
        <v>3344.6320000000001</v>
      </c>
      <c r="AB34" s="96" t="s">
        <v>53</v>
      </c>
      <c r="AC34" s="138"/>
      <c r="AD34" s="146">
        <v>27</v>
      </c>
      <c r="AE34" s="147" t="s">
        <v>30</v>
      </c>
      <c r="AF34" s="141">
        <f t="shared" si="15"/>
        <v>1650</v>
      </c>
      <c r="AG34" s="141">
        <f t="shared" si="15"/>
        <v>359.63200000000001</v>
      </c>
      <c r="AH34" s="141">
        <f t="shared" si="16"/>
        <v>1335</v>
      </c>
      <c r="AI34" s="108"/>
      <c r="AJ34" s="148">
        <v>27</v>
      </c>
      <c r="AK34" s="149" t="s">
        <v>30</v>
      </c>
      <c r="AL34" s="144">
        <f t="shared" si="8"/>
        <v>1650</v>
      </c>
      <c r="AM34" s="145">
        <f t="shared" si="9"/>
        <v>0.49332781603476855</v>
      </c>
      <c r="AN34" s="144">
        <f t="shared" si="13"/>
        <v>359.63200000000001</v>
      </c>
      <c r="AO34" s="145">
        <f t="shared" si="10"/>
        <v>0.10752513280982781</v>
      </c>
      <c r="AP34" s="144">
        <f t="shared" si="14"/>
        <v>1335</v>
      </c>
      <c r="AQ34" s="145">
        <f t="shared" si="11"/>
        <v>0.39914705115540361</v>
      </c>
    </row>
    <row r="35" spans="1:43" x14ac:dyDescent="0.25">
      <c r="A35" s="156">
        <v>28</v>
      </c>
      <c r="B35" s="157" t="s">
        <v>31</v>
      </c>
      <c r="C35" s="266">
        <v>91.6</v>
      </c>
      <c r="D35" s="266">
        <f>((((1.4+1)*1.3)*1.3)*2)*2</f>
        <v>16.224</v>
      </c>
      <c r="E35" s="260">
        <v>20</v>
      </c>
      <c r="F35" s="87">
        <f t="shared" si="0"/>
        <v>127.824</v>
      </c>
      <c r="G35" s="266">
        <v>819.2</v>
      </c>
      <c r="H35" s="266">
        <v>41.912000000000006</v>
      </c>
      <c r="I35" s="260">
        <v>260</v>
      </c>
      <c r="J35" s="87">
        <f t="shared" si="1"/>
        <v>1121.1120000000001</v>
      </c>
      <c r="K35" s="266">
        <v>336.8</v>
      </c>
      <c r="L35" s="266">
        <v>7.4360000000000008</v>
      </c>
      <c r="M35" s="260">
        <v>205</v>
      </c>
      <c r="N35" s="87">
        <f t="shared" si="2"/>
        <v>549.23599999999999</v>
      </c>
      <c r="O35" s="266">
        <v>418.8</v>
      </c>
      <c r="P35" s="266">
        <f>((((43.5+1)*1.3)*1.3)*2)*2</f>
        <v>300.82</v>
      </c>
      <c r="Q35" s="260">
        <v>700</v>
      </c>
      <c r="R35" s="87">
        <f t="shared" si="3"/>
        <v>1419.62</v>
      </c>
      <c r="S35" s="266">
        <v>20</v>
      </c>
      <c r="T35" s="266">
        <v>6.7600000000000007</v>
      </c>
      <c r="U35" s="260">
        <v>50</v>
      </c>
      <c r="V35" s="87">
        <f t="shared" si="4"/>
        <v>76.760000000000005</v>
      </c>
      <c r="W35" s="266">
        <v>80</v>
      </c>
      <c r="X35" s="260"/>
      <c r="Y35" s="260">
        <v>130</v>
      </c>
      <c r="Z35" s="87">
        <f t="shared" si="5"/>
        <v>210</v>
      </c>
      <c r="AA35" s="94">
        <f t="shared" si="12"/>
        <v>3504.5520000000001</v>
      </c>
      <c r="AB35" s="96" t="s">
        <v>53</v>
      </c>
      <c r="AC35" s="138"/>
      <c r="AD35" s="146">
        <v>28</v>
      </c>
      <c r="AE35" s="147" t="s">
        <v>31</v>
      </c>
      <c r="AF35" s="141">
        <f t="shared" si="15"/>
        <v>1766.4</v>
      </c>
      <c r="AG35" s="141">
        <f t="shared" si="15"/>
        <v>373.15199999999999</v>
      </c>
      <c r="AH35" s="141">
        <f t="shared" si="16"/>
        <v>1365</v>
      </c>
      <c r="AI35" s="108"/>
      <c r="AJ35" s="148">
        <v>28</v>
      </c>
      <c r="AK35" s="149" t="s">
        <v>31</v>
      </c>
      <c r="AL35" s="144">
        <f t="shared" si="8"/>
        <v>1766.4</v>
      </c>
      <c r="AM35" s="145">
        <f t="shared" si="9"/>
        <v>0.50403018702533164</v>
      </c>
      <c r="AN35" s="144">
        <f t="shared" si="13"/>
        <v>373.15199999999999</v>
      </c>
      <c r="AO35" s="145">
        <f t="shared" si="10"/>
        <v>0.1064763770091013</v>
      </c>
      <c r="AP35" s="144">
        <f t="shared" si="14"/>
        <v>1365</v>
      </c>
      <c r="AQ35" s="145">
        <f t="shared" si="11"/>
        <v>0.38949343596556707</v>
      </c>
    </row>
    <row r="36" spans="1:43" x14ac:dyDescent="0.25">
      <c r="A36" s="156">
        <v>29</v>
      </c>
      <c r="B36" s="157" t="s">
        <v>32</v>
      </c>
      <c r="C36" s="266">
        <v>170</v>
      </c>
      <c r="D36" s="266">
        <v>10.14</v>
      </c>
      <c r="E36" s="260">
        <v>120</v>
      </c>
      <c r="F36" s="87">
        <f t="shared" si="0"/>
        <v>300.14</v>
      </c>
      <c r="G36" s="266">
        <v>814.8</v>
      </c>
      <c r="H36" s="266">
        <f>((((0.8+1)*1.3)*1.3)*2)*2</f>
        <v>12.168000000000003</v>
      </c>
      <c r="I36" s="260">
        <v>200</v>
      </c>
      <c r="J36" s="87">
        <f t="shared" si="1"/>
        <v>1026.9679999999998</v>
      </c>
      <c r="K36" s="266">
        <v>217.2</v>
      </c>
      <c r="L36" s="266">
        <v>21.632000000000001</v>
      </c>
      <c r="M36" s="260">
        <v>150</v>
      </c>
      <c r="N36" s="87">
        <f t="shared" si="2"/>
        <v>388.83199999999999</v>
      </c>
      <c r="O36" s="266">
        <v>422.4</v>
      </c>
      <c r="P36" s="266">
        <v>286.62400000000002</v>
      </c>
      <c r="Q36" s="260">
        <v>300</v>
      </c>
      <c r="R36" s="87">
        <f t="shared" si="3"/>
        <v>1009.024</v>
      </c>
      <c r="S36" s="266">
        <v>40</v>
      </c>
      <c r="T36" s="266">
        <v>13.520000000000001</v>
      </c>
      <c r="U36" s="260">
        <v>65</v>
      </c>
      <c r="V36" s="87">
        <f t="shared" si="4"/>
        <v>118.52000000000001</v>
      </c>
      <c r="W36" s="266">
        <v>0</v>
      </c>
      <c r="X36" s="260"/>
      <c r="Y36" s="260"/>
      <c r="Z36" s="87">
        <f t="shared" si="5"/>
        <v>0</v>
      </c>
      <c r="AA36" s="94">
        <f t="shared" si="12"/>
        <v>2843.4839999999995</v>
      </c>
      <c r="AB36" s="96" t="s">
        <v>53</v>
      </c>
      <c r="AC36" s="138"/>
      <c r="AD36" s="146">
        <v>29</v>
      </c>
      <c r="AE36" s="147" t="s">
        <v>32</v>
      </c>
      <c r="AF36" s="141">
        <f t="shared" si="15"/>
        <v>1664.4</v>
      </c>
      <c r="AG36" s="141">
        <f t="shared" si="15"/>
        <v>344.084</v>
      </c>
      <c r="AH36" s="141">
        <f t="shared" si="16"/>
        <v>835</v>
      </c>
      <c r="AI36" s="108"/>
      <c r="AJ36" s="148">
        <v>29</v>
      </c>
      <c r="AK36" s="149" t="s">
        <v>32</v>
      </c>
      <c r="AL36" s="144">
        <f t="shared" si="8"/>
        <v>1664.4</v>
      </c>
      <c r="AM36" s="145">
        <f t="shared" si="9"/>
        <v>0.58533826812459655</v>
      </c>
      <c r="AN36" s="144">
        <f t="shared" si="13"/>
        <v>344.084</v>
      </c>
      <c r="AO36" s="145">
        <f t="shared" si="10"/>
        <v>0.12100789032046605</v>
      </c>
      <c r="AP36" s="144">
        <f t="shared" si="14"/>
        <v>835</v>
      </c>
      <c r="AQ36" s="145">
        <f t="shared" si="11"/>
        <v>0.29365384155493757</v>
      </c>
    </row>
    <row r="37" spans="1:43" x14ac:dyDescent="0.25">
      <c r="A37" s="156">
        <v>30</v>
      </c>
      <c r="B37" s="157" t="s">
        <v>33</v>
      </c>
      <c r="C37" s="266">
        <v>89.2</v>
      </c>
      <c r="D37" s="266">
        <v>7.4360000000000008</v>
      </c>
      <c r="E37" s="260">
        <v>130</v>
      </c>
      <c r="F37" s="87">
        <f t="shared" si="0"/>
        <v>226.63600000000002</v>
      </c>
      <c r="G37" s="266">
        <v>419.2</v>
      </c>
      <c r="H37" s="266">
        <v>21.632000000000001</v>
      </c>
      <c r="I37" s="260">
        <v>200</v>
      </c>
      <c r="J37" s="87">
        <f t="shared" si="1"/>
        <v>640.83199999999999</v>
      </c>
      <c r="K37" s="266">
        <v>416.4</v>
      </c>
      <c r="L37" s="266">
        <v>8.1120000000000001</v>
      </c>
      <c r="M37" s="260">
        <v>120</v>
      </c>
      <c r="N37" s="87">
        <f t="shared" si="2"/>
        <v>544.51199999999994</v>
      </c>
      <c r="O37" s="266">
        <v>820.8</v>
      </c>
      <c r="P37" s="266">
        <f>((((42+1)*1.3)*1.3)*2)*2</f>
        <v>290.68</v>
      </c>
      <c r="Q37" s="260">
        <v>600</v>
      </c>
      <c r="R37" s="87">
        <f t="shared" si="3"/>
        <v>1711.48</v>
      </c>
      <c r="S37" s="266">
        <v>120</v>
      </c>
      <c r="T37" s="266">
        <v>13.520000000000001</v>
      </c>
      <c r="U37" s="260">
        <v>60</v>
      </c>
      <c r="V37" s="87">
        <f t="shared" si="4"/>
        <v>193.52</v>
      </c>
      <c r="W37" s="266">
        <v>620</v>
      </c>
      <c r="X37" s="260"/>
      <c r="Y37" s="260">
        <v>150</v>
      </c>
      <c r="Z37" s="87">
        <f t="shared" si="5"/>
        <v>770</v>
      </c>
      <c r="AA37" s="94">
        <f t="shared" si="12"/>
        <v>4086.98</v>
      </c>
      <c r="AB37" s="96" t="s">
        <v>53</v>
      </c>
      <c r="AC37" s="138"/>
      <c r="AD37" s="146">
        <v>30</v>
      </c>
      <c r="AE37" s="147" t="s">
        <v>33</v>
      </c>
      <c r="AF37" s="141">
        <f t="shared" si="15"/>
        <v>2485.6</v>
      </c>
      <c r="AG37" s="141">
        <f t="shared" si="15"/>
        <v>341.38</v>
      </c>
      <c r="AH37" s="141">
        <f t="shared" si="16"/>
        <v>1260</v>
      </c>
      <c r="AI37" s="108"/>
      <c r="AJ37" s="148">
        <v>30</v>
      </c>
      <c r="AK37" s="149" t="s">
        <v>33</v>
      </c>
      <c r="AL37" s="144">
        <f t="shared" si="8"/>
        <v>2485.6</v>
      </c>
      <c r="AM37" s="145">
        <f t="shared" si="9"/>
        <v>0.60817522963165949</v>
      </c>
      <c r="AN37" s="144">
        <f t="shared" si="13"/>
        <v>341.38</v>
      </c>
      <c r="AO37" s="145">
        <f t="shared" si="10"/>
        <v>8.3528669090624369E-2</v>
      </c>
      <c r="AP37" s="144">
        <f t="shared" si="14"/>
        <v>1260</v>
      </c>
      <c r="AQ37" s="145">
        <f t="shared" si="11"/>
        <v>0.30829610127771606</v>
      </c>
    </row>
    <row r="38" spans="1:43" ht="15.75" thickBot="1" x14ac:dyDescent="0.3">
      <c r="A38" s="158">
        <v>31</v>
      </c>
      <c r="B38" s="159" t="s">
        <v>34</v>
      </c>
      <c r="C38" s="261"/>
      <c r="D38" s="262"/>
      <c r="E38" s="262">
        <v>0</v>
      </c>
      <c r="F38" s="88">
        <f t="shared" si="0"/>
        <v>0</v>
      </c>
      <c r="G38" s="261"/>
      <c r="H38" s="262"/>
      <c r="I38" s="262">
        <v>0</v>
      </c>
      <c r="J38" s="88">
        <f t="shared" si="1"/>
        <v>0</v>
      </c>
      <c r="K38" s="261"/>
      <c r="L38" s="262"/>
      <c r="M38" s="262"/>
      <c r="N38" s="88">
        <f t="shared" si="2"/>
        <v>0</v>
      </c>
      <c r="O38" s="261"/>
      <c r="P38" s="262"/>
      <c r="Q38" s="262">
        <v>0</v>
      </c>
      <c r="R38" s="88">
        <f t="shared" si="3"/>
        <v>0</v>
      </c>
      <c r="S38" s="261">
        <v>0</v>
      </c>
      <c r="T38" s="266">
        <v>0</v>
      </c>
      <c r="U38" s="262"/>
      <c r="V38" s="88">
        <f t="shared" si="4"/>
        <v>0</v>
      </c>
      <c r="W38" s="261">
        <v>0</v>
      </c>
      <c r="X38" s="262"/>
      <c r="Y38" s="262"/>
      <c r="Z38" s="88">
        <f t="shared" si="5"/>
        <v>0</v>
      </c>
      <c r="AA38" s="94">
        <f t="shared" si="12"/>
        <v>0</v>
      </c>
      <c r="AB38" s="97" t="s">
        <v>53</v>
      </c>
      <c r="AC38" s="138"/>
      <c r="AD38" s="150">
        <v>31</v>
      </c>
      <c r="AE38" s="151" t="s">
        <v>34</v>
      </c>
      <c r="AF38" s="141">
        <f t="shared" si="15"/>
        <v>0</v>
      </c>
      <c r="AG38" s="141">
        <f t="shared" si="15"/>
        <v>0</v>
      </c>
      <c r="AH38" s="141">
        <f t="shared" si="16"/>
        <v>0</v>
      </c>
      <c r="AI38" s="108"/>
      <c r="AJ38" s="148">
        <v>31</v>
      </c>
      <c r="AK38" s="149" t="s">
        <v>34</v>
      </c>
      <c r="AL38" s="152">
        <f t="shared" si="8"/>
        <v>0</v>
      </c>
      <c r="AM38" s="153" t="e">
        <f t="shared" si="9"/>
        <v>#DIV/0!</v>
      </c>
      <c r="AN38" s="144">
        <f t="shared" si="13"/>
        <v>0</v>
      </c>
      <c r="AO38" s="145" t="e">
        <f t="shared" si="10"/>
        <v>#DIV/0!</v>
      </c>
      <c r="AP38" s="144">
        <f t="shared" si="14"/>
        <v>0</v>
      </c>
      <c r="AQ38" s="145" t="e">
        <f t="shared" si="11"/>
        <v>#DIV/0!</v>
      </c>
    </row>
    <row r="39" spans="1:43" ht="33.75" customHeight="1" thickBot="1" x14ac:dyDescent="0.3">
      <c r="A39" s="308" t="s">
        <v>58</v>
      </c>
      <c r="B39" s="309"/>
      <c r="C39" s="99">
        <f t="shared" ref="C39:I39" si="17">SUM(C8:C38)</f>
        <v>4939.6000000000004</v>
      </c>
      <c r="D39" s="100">
        <f t="shared" si="17"/>
        <v>460.35599999999994</v>
      </c>
      <c r="E39" s="100">
        <f t="shared" si="17"/>
        <v>2450</v>
      </c>
      <c r="F39" s="219">
        <f t="shared" si="17"/>
        <v>7849.9560000000001</v>
      </c>
      <c r="G39" s="101">
        <f t="shared" si="17"/>
        <v>13255.2</v>
      </c>
      <c r="H39" s="102">
        <f t="shared" si="17"/>
        <v>750.3599999999999</v>
      </c>
      <c r="I39" s="102">
        <f t="shared" si="17"/>
        <v>7260</v>
      </c>
      <c r="J39" s="219">
        <f>SUM(J8:J38)</f>
        <v>21265.559999999998</v>
      </c>
      <c r="K39" s="101">
        <f>SUM(K8:K38)</f>
        <v>5660.7999999999993</v>
      </c>
      <c r="L39" s="102">
        <f>SUM(L8:L38)</f>
        <v>346.11200000000002</v>
      </c>
      <c r="M39" s="102">
        <f t="shared" ref="M39" si="18">SUM(M8:M38)</f>
        <v>2565</v>
      </c>
      <c r="N39" s="219">
        <f>SUM(N8:N38)</f>
        <v>8571.9119999999984</v>
      </c>
      <c r="O39" s="101">
        <f>SUM(O8:O38)</f>
        <v>16426</v>
      </c>
      <c r="P39" s="102">
        <f>SUM(P8:P38)</f>
        <v>6600.4639999999999</v>
      </c>
      <c r="Q39" s="102">
        <f t="shared" ref="Q39" si="19">SUM(Q8:Q38)</f>
        <v>13000</v>
      </c>
      <c r="R39" s="219">
        <f>SUM(R8:R38)</f>
        <v>36026.464000000007</v>
      </c>
      <c r="S39" s="101">
        <f>SUM(S8:S38)</f>
        <v>2320</v>
      </c>
      <c r="T39" s="102">
        <f>SUM(T8:T38)</f>
        <v>452.9199999999999</v>
      </c>
      <c r="U39" s="102">
        <f t="shared" ref="U39" si="20">SUM(U8:U38)</f>
        <v>1565</v>
      </c>
      <c r="V39" s="219">
        <f>SUM(V8:V38)</f>
        <v>4337.9200000000019</v>
      </c>
      <c r="W39" s="101">
        <f>SUM(W8:W38)</f>
        <v>2340</v>
      </c>
      <c r="X39" s="102">
        <f>SUM(X8:X38)</f>
        <v>128.44000000000003</v>
      </c>
      <c r="Y39" s="102">
        <f t="shared" ref="Y39" si="21">SUM(Y8:Y38)</f>
        <v>1625</v>
      </c>
      <c r="Z39" s="219">
        <f>SUM(Z8:Z38)</f>
        <v>4093.4400000000005</v>
      </c>
      <c r="AA39" s="220">
        <f>SUM(AA8:AA38)</f>
        <v>82145.251999999979</v>
      </c>
      <c r="AB39" s="221" t="s">
        <v>51</v>
      </c>
      <c r="AC39" s="103"/>
      <c r="AD39" s="104" t="s">
        <v>96</v>
      </c>
      <c r="AE39" s="105"/>
      <c r="AF39" s="106">
        <f>SUM(AF9:AF38)</f>
        <v>41254.400000000001</v>
      </c>
      <c r="AG39" s="106">
        <f>SUM(AG9:AG38)</f>
        <v>8270.1839999999993</v>
      </c>
      <c r="AH39" s="107">
        <f>SUM(AH9:AH38)</f>
        <v>26680</v>
      </c>
      <c r="AI39" s="108"/>
      <c r="AJ39" s="109" t="s">
        <v>94</v>
      </c>
      <c r="AK39" s="110"/>
      <c r="AL39" s="111">
        <f>SUM(AL9:AL38)</f>
        <v>41254.400000000001</v>
      </c>
      <c r="AM39" s="112" t="s">
        <v>64</v>
      </c>
      <c r="AN39" s="111">
        <f>SUM(AN9:AN38)</f>
        <v>8270.1839999999993</v>
      </c>
      <c r="AO39" s="113" t="s">
        <v>64</v>
      </c>
      <c r="AP39" s="111">
        <f>SUM(AP9:AP38)</f>
        <v>26680</v>
      </c>
      <c r="AQ39" s="113" t="s">
        <v>64</v>
      </c>
    </row>
    <row r="40" spans="1:43" ht="33.75" customHeight="1" thickBot="1" x14ac:dyDescent="0.3">
      <c r="A40" s="308" t="s">
        <v>59</v>
      </c>
      <c r="B40" s="309"/>
      <c r="C40" s="114">
        <f>C39/1000</f>
        <v>4.9396000000000004</v>
      </c>
      <c r="D40" s="115">
        <f t="shared" ref="D40:E40" si="22">D39/1000</f>
        <v>0.46035599999999993</v>
      </c>
      <c r="E40" s="115">
        <f t="shared" si="22"/>
        <v>2.4500000000000002</v>
      </c>
      <c r="F40" s="222">
        <f>F39/1000</f>
        <v>7.8499559999999997</v>
      </c>
      <c r="G40" s="116">
        <f>G39/1000</f>
        <v>13.2552</v>
      </c>
      <c r="H40" s="117">
        <f t="shared" ref="H40:I40" si="23">H39/1000</f>
        <v>0.75035999999999992</v>
      </c>
      <c r="I40" s="117">
        <f t="shared" si="23"/>
        <v>7.26</v>
      </c>
      <c r="J40" s="222">
        <f>J39/1000</f>
        <v>21.265559999999997</v>
      </c>
      <c r="K40" s="116">
        <f>K39/1000</f>
        <v>5.6607999999999992</v>
      </c>
      <c r="L40" s="117">
        <f t="shared" ref="L40:M40" si="24">L39/1000</f>
        <v>0.34611200000000003</v>
      </c>
      <c r="M40" s="117">
        <f t="shared" si="24"/>
        <v>2.5649999999999999</v>
      </c>
      <c r="N40" s="222">
        <f>N39/1000</f>
        <v>8.5719119999999993</v>
      </c>
      <c r="O40" s="116">
        <f>O39/1000</f>
        <v>16.425999999999998</v>
      </c>
      <c r="P40" s="117">
        <f t="shared" ref="P40:Q40" si="25">P39/1000</f>
        <v>6.6004639999999997</v>
      </c>
      <c r="Q40" s="117">
        <f t="shared" si="25"/>
        <v>13</v>
      </c>
      <c r="R40" s="222">
        <f>R39/1000</f>
        <v>36.026464000000004</v>
      </c>
      <c r="S40" s="116">
        <f>S39/1000</f>
        <v>2.3199999999999998</v>
      </c>
      <c r="T40" s="117">
        <f t="shared" ref="T40" si="26">T39/1000</f>
        <v>0.45291999999999988</v>
      </c>
      <c r="U40" s="117">
        <f>U39/1000</f>
        <v>1.5649999999999999</v>
      </c>
      <c r="V40" s="222">
        <f>V39/1000</f>
        <v>4.3379200000000022</v>
      </c>
      <c r="W40" s="116">
        <f>W39/1000</f>
        <v>2.34</v>
      </c>
      <c r="X40" s="117">
        <f t="shared" ref="X40:Y40" si="27">X39/1000</f>
        <v>0.12844000000000003</v>
      </c>
      <c r="Y40" s="117">
        <f t="shared" si="27"/>
        <v>1.625</v>
      </c>
      <c r="Z40" s="222">
        <f>Z39/1000</f>
        <v>4.0934400000000002</v>
      </c>
      <c r="AA40" s="223">
        <f>AA39/1000</f>
        <v>82.145251999999985</v>
      </c>
      <c r="AB40" s="224" t="s">
        <v>52</v>
      </c>
      <c r="AC40" s="103"/>
      <c r="AD40" s="118" t="s">
        <v>97</v>
      </c>
      <c r="AE40" s="119"/>
      <c r="AF40" s="120">
        <f>AF39/1000</f>
        <v>41.254400000000004</v>
      </c>
      <c r="AG40" s="120">
        <f t="shared" ref="AG40:AH40" si="28">AG39/1000</f>
        <v>8.2701839999999986</v>
      </c>
      <c r="AH40" s="121">
        <f t="shared" si="28"/>
        <v>26.68</v>
      </c>
      <c r="AI40" s="108"/>
      <c r="AJ40" s="109" t="s">
        <v>95</v>
      </c>
      <c r="AK40" s="110"/>
      <c r="AL40" s="122">
        <f>AL39/1000</f>
        <v>41.254400000000004</v>
      </c>
      <c r="AM40" s="123">
        <f>AL40/AA40</f>
        <v>0.50221283635480252</v>
      </c>
      <c r="AN40" s="122">
        <f>AN39/1000</f>
        <v>8.2701839999999986</v>
      </c>
      <c r="AO40" s="124">
        <f>AN40/AA40</f>
        <v>0.1006775656370255</v>
      </c>
      <c r="AP40" s="122">
        <f>AP39/1000</f>
        <v>26.68</v>
      </c>
      <c r="AQ40" s="124">
        <f>AP40/AA40</f>
        <v>0.32479053080268117</v>
      </c>
    </row>
    <row r="41" spans="1:43" ht="33.75" customHeight="1" thickBot="1" x14ac:dyDescent="0.3">
      <c r="A41" s="308" t="s">
        <v>74</v>
      </c>
      <c r="B41" s="309"/>
      <c r="C41" s="114">
        <f>_xlfn.AGGREGATE(1,7,C8:C38)</f>
        <v>164.65333333333334</v>
      </c>
      <c r="D41" s="114">
        <f>_xlfn.AGGREGATE(1,7,D8:D38)</f>
        <v>15.345199999999998</v>
      </c>
      <c r="E41" s="114">
        <f>_xlfn.AGGREGATE(1,7,E8:E38)</f>
        <v>79.032258064516128</v>
      </c>
      <c r="F41" s="222">
        <f>AVERAGEIF(F8:F38,"&gt;0")</f>
        <v>313.99824000000001</v>
      </c>
      <c r="G41" s="114">
        <f>_xlfn.AGGREGATE(1,7,G8:G38)</f>
        <v>441.84000000000003</v>
      </c>
      <c r="H41" s="114">
        <f>_xlfn.AGGREGATE(1,7,H8:H38)</f>
        <v>25.011999999999997</v>
      </c>
      <c r="I41" s="114">
        <f>_xlfn.AGGREGATE(1,7,I8:I38)</f>
        <v>234.19354838709677</v>
      </c>
      <c r="J41" s="222">
        <f>AVERAGEIF(J8:J38,"&gt;0")</f>
        <v>817.90615384615376</v>
      </c>
      <c r="K41" s="114">
        <f>_xlfn.AGGREGATE(1,7,K8:K38)</f>
        <v>188.6933333333333</v>
      </c>
      <c r="L41" s="114">
        <f>_xlfn.AGGREGATE(1,7,L8:L38)</f>
        <v>11.537066666666668</v>
      </c>
      <c r="M41" s="114">
        <f>_xlfn.AGGREGATE(1,7,M8:M38)</f>
        <v>150.88235294117646</v>
      </c>
      <c r="N41" s="222">
        <f>AVERAGEIF(N8:N38,"&gt;0")</f>
        <v>389.63236363636355</v>
      </c>
      <c r="O41" s="114">
        <f>_xlfn.AGGREGATE(1,7,O8:O38)</f>
        <v>547.5333333333333</v>
      </c>
      <c r="P41" s="114">
        <f>_xlfn.AGGREGATE(1,7,P8:P38)</f>
        <v>220.01546666666667</v>
      </c>
      <c r="Q41" s="114">
        <f>_xlfn.AGGREGATE(1,7,Q8:Q38)</f>
        <v>419.35483870967744</v>
      </c>
      <c r="R41" s="222">
        <f>AVERAGEIF(R8:R38,"&gt;0")</f>
        <v>1441.0585600000004</v>
      </c>
      <c r="S41" s="114">
        <f>_xlfn.AGGREGATE(1,7,S8:S38)</f>
        <v>74.838709677419359</v>
      </c>
      <c r="T41" s="114">
        <f>_xlfn.AGGREGATE(1,7,T8:T38)</f>
        <v>14.610322580645159</v>
      </c>
      <c r="U41" s="114">
        <f>_xlfn.AGGREGATE(1,7,U8:U38)</f>
        <v>68.043478260869563</v>
      </c>
      <c r="V41" s="222">
        <f>AVERAGEIF(V8:V38,"&gt;0")</f>
        <v>166.84307692307701</v>
      </c>
      <c r="W41" s="114">
        <f>_xlfn.AGGREGATE(1,7,W8:W38)</f>
        <v>75.483870967741936</v>
      </c>
      <c r="X41" s="114">
        <f>_xlfn.AGGREGATE(1,7,X8:X38)</f>
        <v>4.9400000000000013</v>
      </c>
      <c r="Y41" s="114">
        <f>_xlfn.AGGREGATE(1,7,Y8:Y38)</f>
        <v>95.588235294117652</v>
      </c>
      <c r="Z41" s="222">
        <f>AVERAGEIF(Z8:Z38,"&gt;0")</f>
        <v>194.92571428571432</v>
      </c>
      <c r="AA41" s="223">
        <f>AVERAGEIF(AA8:AA38,"&gt;0")</f>
        <v>2738.1750666666658</v>
      </c>
      <c r="AB41" s="225" t="s">
        <v>75</v>
      </c>
      <c r="AC41" s="103"/>
      <c r="AD41" s="118" t="s">
        <v>98</v>
      </c>
      <c r="AE41" s="119"/>
      <c r="AF41" s="125">
        <f>AVERAGEIF(AF8:AF38,"&gt;0")</f>
        <v>1728.5230769230768</v>
      </c>
      <c r="AG41" s="125">
        <f>AVERAGEIF(AG8:AG38,"&gt;0")</f>
        <v>312.0947142857143</v>
      </c>
      <c r="AH41" s="125">
        <f>AVERAGEIF(AH8:AH38,"&gt;0")</f>
        <v>1094.8076923076924</v>
      </c>
      <c r="AI41" s="108"/>
      <c r="AJ41" s="109" t="s">
        <v>99</v>
      </c>
      <c r="AK41" s="110"/>
      <c r="AL41" s="125">
        <f>AVERAGEIF(AL8:AL38,"&gt;0")</f>
        <v>1728.5230769230768</v>
      </c>
      <c r="AM41" s="126" t="s">
        <v>64</v>
      </c>
      <c r="AN41" s="125">
        <f>AVERAGEIF(AN8:AN38,"&gt;0")</f>
        <v>312.0947142857143</v>
      </c>
      <c r="AO41" s="124" t="s">
        <v>64</v>
      </c>
      <c r="AP41" s="125">
        <f>AVERAGEIF(AP8:AP38,"&gt;0")</f>
        <v>1094.8076923076924</v>
      </c>
      <c r="AQ41" s="124" t="s">
        <v>64</v>
      </c>
    </row>
    <row r="42" spans="1:43" x14ac:dyDescent="0.25">
      <c r="J42" s="89" t="s">
        <v>61</v>
      </c>
    </row>
    <row r="44" spans="1:43" x14ac:dyDescent="0.25">
      <c r="A44" s="128" t="s">
        <v>61</v>
      </c>
      <c r="C44" s="130" t="s">
        <v>50</v>
      </c>
      <c r="D44" s="131"/>
    </row>
    <row r="45" spans="1:43" x14ac:dyDescent="0.25">
      <c r="C45" s="132"/>
      <c r="D45" s="131" t="s">
        <v>133</v>
      </c>
    </row>
    <row r="46" spans="1:43" x14ac:dyDescent="0.25">
      <c r="C46" s="133"/>
      <c r="D46" s="131" t="s">
        <v>100</v>
      </c>
    </row>
    <row r="47" spans="1:43" x14ac:dyDescent="0.25">
      <c r="C47" s="134"/>
      <c r="D47" s="131" t="s">
        <v>100</v>
      </c>
    </row>
    <row r="48" spans="1:43" x14ac:dyDescent="0.25">
      <c r="C48" s="135"/>
      <c r="D48" s="131" t="s">
        <v>100</v>
      </c>
    </row>
    <row r="49" spans="3:5" x14ac:dyDescent="0.25">
      <c r="C49" s="136"/>
      <c r="D49" s="131" t="s">
        <v>100</v>
      </c>
    </row>
    <row r="50" spans="3:5" x14ac:dyDescent="0.25">
      <c r="C50" s="137"/>
      <c r="D50" s="131" t="s">
        <v>100</v>
      </c>
    </row>
    <row r="51" spans="3:5" x14ac:dyDescent="0.25">
      <c r="E51" s="129" t="s">
        <v>61</v>
      </c>
    </row>
  </sheetData>
  <sheetProtection algorithmName="SHA-512" hashValue="hAPiADY+v9ColioqPKvhs057J7gpTpND8IZdHYPzdGDfBlYPn1NOxgp3+9S60oe+gZMTmfKDldn+unDT7/U+XA==" saltValue="fMCoGsu12u6SfdP3FFBC9Q==" spinCount="100000" sheet="1" objects="1" scenarios="1" formatColumns="0" formatRows="0"/>
  <mergeCells count="14">
    <mergeCell ref="A39:B39"/>
    <mergeCell ref="A40:B40"/>
    <mergeCell ref="A41:B41"/>
    <mergeCell ref="A4:A7"/>
    <mergeCell ref="B4:B7"/>
    <mergeCell ref="AJ6:AQ6"/>
    <mergeCell ref="AA3:AA7"/>
    <mergeCell ref="AB3:AB7"/>
    <mergeCell ref="C6:E6"/>
    <mergeCell ref="G6:I6"/>
    <mergeCell ref="K6:M6"/>
    <mergeCell ref="O6:Q6"/>
    <mergeCell ref="S6:U6"/>
    <mergeCell ref="W6:Y6"/>
  </mergeCells>
  <printOptions horizontalCentered="1"/>
  <pageMargins left="0.19685039370078741" right="0.19685039370078741" top="0.39370078740157483" bottom="0.39370078740157483" header="0.11811023622047245" footer="0.11811023622047245"/>
  <pageSetup paperSize="9" scale="64" orientation="landscape" r:id="rId1"/>
  <colBreaks count="1" manualBreakCount="1">
    <brk id="26" max="40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7FD27-80A7-45D9-AD7B-5DC16F3FFE56}">
  <sheetPr>
    <tabColor rgb="FFFFFF00"/>
    <pageSetUpPr fitToPage="1"/>
  </sheetPr>
  <dimension ref="A1:AQ51"/>
  <sheetViews>
    <sheetView showGridLines="0" view="pageBreakPreview" zoomScale="80" zoomScaleNormal="78" zoomScaleSheetLayoutView="80" workbookViewId="0">
      <pane xSplit="2" ySplit="7" topLeftCell="C31" activePane="bottomRight" state="frozen"/>
      <selection activeCell="H31" sqref="H31"/>
      <selection pane="topRight" activeCell="H31" sqref="H31"/>
      <selection pane="bottomLeft" activeCell="H31" sqref="H31"/>
      <selection pane="bottomRight" activeCell="X9" activeCellId="5" sqref="D9:D37 H9:H37 L9:L37 P9:P37 T9:T37 X9:X37"/>
    </sheetView>
  </sheetViews>
  <sheetFormatPr defaultColWidth="9.140625" defaultRowHeight="15" x14ac:dyDescent="0.25"/>
  <cols>
    <col min="1" max="1" width="11.42578125" style="128" customWidth="1"/>
    <col min="2" max="2" width="7.28515625" style="128" customWidth="1"/>
    <col min="3" max="5" width="8.140625" style="129" customWidth="1"/>
    <col min="6" max="6" width="8.140625" style="89" customWidth="1"/>
    <col min="7" max="9" width="8.140625" style="129" customWidth="1"/>
    <col min="10" max="10" width="8.140625" style="89" customWidth="1"/>
    <col min="11" max="13" width="8.140625" style="129" customWidth="1"/>
    <col min="14" max="14" width="8.140625" style="89" customWidth="1"/>
    <col min="15" max="17" width="8.140625" style="129" customWidth="1"/>
    <col min="18" max="18" width="8.140625" style="89" customWidth="1"/>
    <col min="19" max="21" width="8.140625" style="129" customWidth="1"/>
    <col min="22" max="22" width="8.140625" style="89" customWidth="1"/>
    <col min="23" max="25" width="8.140625" style="129" customWidth="1"/>
    <col min="26" max="26" width="8.140625" style="89" customWidth="1"/>
    <col min="27" max="27" width="10.42578125" style="91" customWidth="1"/>
    <col min="28" max="28" width="12" style="98" customWidth="1"/>
    <col min="29" max="29" width="8.5703125" style="98" hidden="1" customWidth="1"/>
    <col min="30" max="30" width="14.140625" style="129" hidden="1" customWidth="1"/>
    <col min="31" max="31" width="11" style="129" hidden="1" customWidth="1"/>
    <col min="32" max="32" width="11.7109375" style="129" hidden="1" customWidth="1"/>
    <col min="33" max="34" width="10.7109375" style="129" hidden="1" customWidth="1"/>
    <col min="35" max="35" width="8.5703125" style="129" hidden="1" customWidth="1"/>
    <col min="36" max="36" width="15.85546875" style="129" hidden="1" customWidth="1"/>
    <col min="37" max="37" width="11" style="129" hidden="1" customWidth="1"/>
    <col min="38" max="38" width="7.7109375" style="129" hidden="1" customWidth="1"/>
    <col min="39" max="39" width="11.5703125" style="129" hidden="1" customWidth="1"/>
    <col min="40" max="40" width="6.5703125" style="129" hidden="1" customWidth="1"/>
    <col min="41" max="41" width="11.85546875" style="129" hidden="1" customWidth="1"/>
    <col min="42" max="42" width="6.5703125" style="129" hidden="1" customWidth="1"/>
    <col min="43" max="43" width="11.85546875" style="129" hidden="1" customWidth="1"/>
    <col min="44" max="16384" width="9.140625" style="98"/>
  </cols>
  <sheetData>
    <row r="1" spans="1:43" x14ac:dyDescent="0.25">
      <c r="A1" s="226" t="s">
        <v>116</v>
      </c>
      <c r="B1" s="227" t="str">
        <f>'Rekap Neraca Pengelolaan Sampah'!C3</f>
        <v>PT PELINDO DAYA SEJAHTERA</v>
      </c>
    </row>
    <row r="2" spans="1:43" ht="15.75" thickBot="1" x14ac:dyDescent="0.3">
      <c r="A2" s="226" t="s">
        <v>42</v>
      </c>
      <c r="B2" s="227">
        <f>'Rekap Neraca Pengelolaan Sampah'!D2</f>
        <v>2024</v>
      </c>
    </row>
    <row r="3" spans="1:43" ht="15.75" thickBot="1" x14ac:dyDescent="0.3">
      <c r="A3" s="160" t="s">
        <v>2</v>
      </c>
      <c r="B3" s="82" t="s">
        <v>66</v>
      </c>
      <c r="C3" s="160" t="s">
        <v>36</v>
      </c>
      <c r="D3" s="90"/>
      <c r="E3" s="90"/>
      <c r="F3" s="82"/>
      <c r="G3" s="160" t="s">
        <v>36</v>
      </c>
      <c r="H3" s="90"/>
      <c r="I3" s="90"/>
      <c r="J3" s="90"/>
      <c r="K3" s="160" t="s">
        <v>36</v>
      </c>
      <c r="L3" s="90"/>
      <c r="M3" s="90"/>
      <c r="N3" s="90"/>
      <c r="O3" s="160" t="s">
        <v>36</v>
      </c>
      <c r="P3" s="90"/>
      <c r="Q3" s="90"/>
      <c r="R3" s="90"/>
      <c r="S3" s="160" t="s">
        <v>36</v>
      </c>
      <c r="T3" s="90"/>
      <c r="U3" s="90"/>
      <c r="V3" s="90"/>
      <c r="W3" s="160" t="s">
        <v>36</v>
      </c>
      <c r="X3" s="90"/>
      <c r="Y3" s="90"/>
      <c r="Z3" s="90"/>
      <c r="AA3" s="297" t="s">
        <v>125</v>
      </c>
      <c r="AB3" s="300" t="s">
        <v>57</v>
      </c>
      <c r="AD3" s="161" t="s">
        <v>54</v>
      </c>
      <c r="AE3" s="162"/>
      <c r="AF3" s="162"/>
      <c r="AG3" s="162"/>
      <c r="AH3" s="163"/>
      <c r="AI3" s="91"/>
      <c r="AJ3" s="164" t="s">
        <v>56</v>
      </c>
      <c r="AK3" s="165"/>
      <c r="AL3" s="165"/>
      <c r="AM3" s="165"/>
      <c r="AN3" s="165"/>
      <c r="AO3" s="165"/>
      <c r="AP3" s="165"/>
      <c r="AQ3" s="165"/>
    </row>
    <row r="4" spans="1:43" ht="15" customHeight="1" x14ac:dyDescent="0.25">
      <c r="A4" s="310" t="s">
        <v>0</v>
      </c>
      <c r="B4" s="313" t="s">
        <v>87</v>
      </c>
      <c r="C4" s="98" t="s">
        <v>37</v>
      </c>
      <c r="D4" s="98"/>
      <c r="E4" s="98"/>
      <c r="F4" s="83"/>
      <c r="G4" s="166" t="s">
        <v>37</v>
      </c>
      <c r="H4" s="98"/>
      <c r="I4" s="98"/>
      <c r="J4" s="91"/>
      <c r="K4" s="166" t="s">
        <v>37</v>
      </c>
      <c r="L4" s="98"/>
      <c r="M4" s="98"/>
      <c r="N4" s="91"/>
      <c r="O4" s="166" t="s">
        <v>37</v>
      </c>
      <c r="P4" s="98"/>
      <c r="Q4" s="98"/>
      <c r="R4" s="91"/>
      <c r="S4" s="166" t="s">
        <v>37</v>
      </c>
      <c r="T4" s="98"/>
      <c r="U4" s="98"/>
      <c r="V4" s="91"/>
      <c r="W4" s="166" t="s">
        <v>37</v>
      </c>
      <c r="X4" s="98"/>
      <c r="Y4" s="98"/>
      <c r="Z4" s="91"/>
      <c r="AA4" s="298"/>
      <c r="AB4" s="301"/>
      <c r="AD4" s="167" t="s">
        <v>55</v>
      </c>
      <c r="AE4" s="168"/>
      <c r="AF4" s="168"/>
      <c r="AG4" s="169"/>
      <c r="AH4" s="170"/>
      <c r="AI4" s="98"/>
      <c r="AJ4" s="171" t="s">
        <v>126</v>
      </c>
      <c r="AK4" s="172"/>
      <c r="AL4" s="172"/>
      <c r="AM4" s="173"/>
      <c r="AN4" s="173"/>
      <c r="AO4" s="173"/>
      <c r="AP4" s="173"/>
      <c r="AQ4" s="173"/>
    </row>
    <row r="5" spans="1:43" ht="15.75" thickBot="1" x14ac:dyDescent="0.3">
      <c r="A5" s="311"/>
      <c r="B5" s="314"/>
      <c r="C5" s="91" t="s">
        <v>3</v>
      </c>
      <c r="D5" s="91"/>
      <c r="E5" s="91"/>
      <c r="F5" s="83"/>
      <c r="G5" s="174" t="s">
        <v>3</v>
      </c>
      <c r="H5" s="91"/>
      <c r="I5" s="91"/>
      <c r="J5" s="91"/>
      <c r="K5" s="174" t="s">
        <v>3</v>
      </c>
      <c r="L5" s="91"/>
      <c r="M5" s="91"/>
      <c r="N5" s="91"/>
      <c r="O5" s="174" t="s">
        <v>3</v>
      </c>
      <c r="P5" s="91"/>
      <c r="Q5" s="91"/>
      <c r="R5" s="91"/>
      <c r="S5" s="174" t="s">
        <v>3</v>
      </c>
      <c r="T5" s="91"/>
      <c r="U5" s="91"/>
      <c r="V5" s="91"/>
      <c r="W5" s="174" t="s">
        <v>3</v>
      </c>
      <c r="X5" s="91"/>
      <c r="Y5" s="91"/>
      <c r="Z5" s="91"/>
      <c r="AA5" s="298"/>
      <c r="AB5" s="301"/>
      <c r="AD5" s="175" t="s">
        <v>37</v>
      </c>
      <c r="AE5" s="169"/>
      <c r="AF5" s="169"/>
      <c r="AG5" s="168"/>
      <c r="AH5" s="176"/>
      <c r="AI5" s="91"/>
      <c r="AJ5" s="177" t="s">
        <v>91</v>
      </c>
      <c r="AK5" s="178" t="str">
        <f>B3</f>
        <v>September</v>
      </c>
      <c r="AL5" s="178" t="s">
        <v>63</v>
      </c>
      <c r="AM5" s="178" t="str">
        <f>B4</f>
        <v>Tanggal</v>
      </c>
      <c r="AN5" s="179"/>
      <c r="AO5" s="179"/>
      <c r="AP5" s="179"/>
      <c r="AQ5" s="179"/>
    </row>
    <row r="6" spans="1:43" ht="30.75" customHeight="1" thickBot="1" x14ac:dyDescent="0.3">
      <c r="A6" s="311"/>
      <c r="B6" s="314"/>
      <c r="C6" s="316" t="s">
        <v>109</v>
      </c>
      <c r="D6" s="303"/>
      <c r="E6" s="303"/>
      <c r="F6" s="84"/>
      <c r="G6" s="304" t="s">
        <v>123</v>
      </c>
      <c r="H6" s="305"/>
      <c r="I6" s="305"/>
      <c r="J6" s="92"/>
      <c r="K6" s="306" t="s">
        <v>111</v>
      </c>
      <c r="L6" s="307"/>
      <c r="M6" s="307"/>
      <c r="N6" s="93"/>
      <c r="O6" s="306" t="s">
        <v>115</v>
      </c>
      <c r="P6" s="307"/>
      <c r="Q6" s="307"/>
      <c r="R6" s="93"/>
      <c r="S6" s="304" t="s">
        <v>124</v>
      </c>
      <c r="T6" s="305"/>
      <c r="U6" s="305"/>
      <c r="V6" s="92"/>
      <c r="W6" s="304" t="s">
        <v>84</v>
      </c>
      <c r="X6" s="305"/>
      <c r="Y6" s="305"/>
      <c r="Z6" s="93"/>
      <c r="AA6" s="298"/>
      <c r="AB6" s="301"/>
      <c r="AD6" s="180" t="s">
        <v>91</v>
      </c>
      <c r="AE6" s="181" t="str">
        <f>B3</f>
        <v>September</v>
      </c>
      <c r="AF6" s="181" t="s">
        <v>63</v>
      </c>
      <c r="AG6" s="169" t="str">
        <f>B4</f>
        <v>Tanggal</v>
      </c>
      <c r="AH6" s="170"/>
      <c r="AI6" s="98"/>
      <c r="AJ6" s="296" t="s">
        <v>93</v>
      </c>
      <c r="AK6" s="296"/>
      <c r="AL6" s="296"/>
      <c r="AM6" s="296"/>
      <c r="AN6" s="296"/>
      <c r="AO6" s="296"/>
      <c r="AP6" s="296"/>
      <c r="AQ6" s="296"/>
    </row>
    <row r="7" spans="1:43" s="191" customFormat="1" ht="120.75" customHeight="1" thickBot="1" x14ac:dyDescent="0.3">
      <c r="A7" s="312"/>
      <c r="B7" s="315"/>
      <c r="C7" s="184" t="s">
        <v>85</v>
      </c>
      <c r="D7" s="182" t="s">
        <v>108</v>
      </c>
      <c r="E7" s="183" t="s">
        <v>145</v>
      </c>
      <c r="F7" s="85" t="s">
        <v>131</v>
      </c>
      <c r="G7" s="184" t="s">
        <v>85</v>
      </c>
      <c r="H7" s="182" t="s">
        <v>108</v>
      </c>
      <c r="I7" s="183" t="s">
        <v>145</v>
      </c>
      <c r="J7" s="85" t="s">
        <v>131</v>
      </c>
      <c r="K7" s="184" t="s">
        <v>85</v>
      </c>
      <c r="L7" s="182" t="s">
        <v>108</v>
      </c>
      <c r="M7" s="183" t="s">
        <v>145</v>
      </c>
      <c r="N7" s="85" t="s">
        <v>131</v>
      </c>
      <c r="O7" s="184" t="s">
        <v>85</v>
      </c>
      <c r="P7" s="182" t="s">
        <v>108</v>
      </c>
      <c r="Q7" s="183" t="s">
        <v>145</v>
      </c>
      <c r="R7" s="85" t="s">
        <v>131</v>
      </c>
      <c r="S7" s="184" t="s">
        <v>85</v>
      </c>
      <c r="T7" s="182" t="s">
        <v>108</v>
      </c>
      <c r="U7" s="183" t="s">
        <v>145</v>
      </c>
      <c r="V7" s="85" t="s">
        <v>131</v>
      </c>
      <c r="W7" s="184" t="s">
        <v>85</v>
      </c>
      <c r="X7" s="182" t="s">
        <v>108</v>
      </c>
      <c r="Y7" s="183" t="s">
        <v>145</v>
      </c>
      <c r="Z7" s="85" t="s">
        <v>131</v>
      </c>
      <c r="AA7" s="299"/>
      <c r="AB7" s="302"/>
      <c r="AC7" s="185"/>
      <c r="AD7" s="186" t="s">
        <v>90</v>
      </c>
      <c r="AE7" s="187" t="s">
        <v>87</v>
      </c>
      <c r="AF7" s="188" t="s">
        <v>92</v>
      </c>
      <c r="AG7" s="188" t="s">
        <v>110</v>
      </c>
      <c r="AH7" s="188" t="s">
        <v>101</v>
      </c>
      <c r="AI7" s="185"/>
      <c r="AJ7" s="189" t="s">
        <v>90</v>
      </c>
      <c r="AK7" s="189" t="s">
        <v>87</v>
      </c>
      <c r="AL7" s="190" t="s">
        <v>40</v>
      </c>
      <c r="AM7" s="190" t="s">
        <v>60</v>
      </c>
      <c r="AN7" s="190" t="s">
        <v>38</v>
      </c>
      <c r="AO7" s="190" t="s">
        <v>39</v>
      </c>
      <c r="AP7" s="190" t="s">
        <v>103</v>
      </c>
      <c r="AQ7" s="190" t="s">
        <v>102</v>
      </c>
    </row>
    <row r="8" spans="1:43" x14ac:dyDescent="0.25">
      <c r="A8" s="154">
        <v>1</v>
      </c>
      <c r="B8" s="155" t="s">
        <v>4</v>
      </c>
      <c r="C8" s="257"/>
      <c r="D8" s="258"/>
      <c r="E8" s="258"/>
      <c r="F8" s="86">
        <f t="shared" ref="F8:F38" si="0">SUM(C8:E8)</f>
        <v>0</v>
      </c>
      <c r="G8" s="257"/>
      <c r="H8" s="258"/>
      <c r="I8" s="258">
        <f>[3]September!$V$6</f>
        <v>0</v>
      </c>
      <c r="J8" s="86">
        <f t="shared" ref="J8:J38" si="1">SUM(G8:I8)</f>
        <v>0</v>
      </c>
      <c r="K8" s="257"/>
      <c r="L8" s="258"/>
      <c r="M8" s="258"/>
      <c r="N8" s="86">
        <f t="shared" ref="N8:N38" si="2">SUM(K8:M8)</f>
        <v>0</v>
      </c>
      <c r="O8" s="257"/>
      <c r="P8" s="258"/>
      <c r="Q8" s="258">
        <f>[3]November!$AC$6</f>
        <v>450</v>
      </c>
      <c r="R8" s="86">
        <f t="shared" ref="R8:R38" si="3">SUM(O8:Q8)</f>
        <v>450</v>
      </c>
      <c r="S8" s="257"/>
      <c r="T8" s="258"/>
      <c r="U8" s="258"/>
      <c r="V8" s="86">
        <f t="shared" ref="V8:V38" si="4">SUM(S8:U8)</f>
        <v>0</v>
      </c>
      <c r="W8" s="257"/>
      <c r="X8" s="258"/>
      <c r="Y8" s="258">
        <f>[3]September!$AX$6</f>
        <v>0</v>
      </c>
      <c r="Z8" s="86">
        <f t="shared" ref="Z8:Z38" si="5">SUM(W8:Y8)</f>
        <v>0</v>
      </c>
      <c r="AA8" s="94">
        <f>(F8+J8+N8+R8+V8+Z8)</f>
        <v>450</v>
      </c>
      <c r="AB8" s="95" t="s">
        <v>53</v>
      </c>
      <c r="AC8" s="138"/>
      <c r="AD8" s="139">
        <v>1</v>
      </c>
      <c r="AE8" s="140" t="s">
        <v>4</v>
      </c>
      <c r="AF8" s="141">
        <f t="shared" ref="AF8:AG16" si="6">(C8+G8+K8+O8+S8+W8)</f>
        <v>0</v>
      </c>
      <c r="AG8" s="141">
        <f t="shared" si="6"/>
        <v>0</v>
      </c>
      <c r="AH8" s="141">
        <f t="shared" ref="AH8:AH16" si="7">(E8+I8+M8+Q8++U8+Y8)</f>
        <v>450</v>
      </c>
      <c r="AI8" s="108"/>
      <c r="AJ8" s="142">
        <v>1</v>
      </c>
      <c r="AK8" s="143" t="s">
        <v>4</v>
      </c>
      <c r="AL8" s="144">
        <f t="shared" ref="AL8:AL38" si="8">AF8</f>
        <v>0</v>
      </c>
      <c r="AM8" s="145">
        <f t="shared" ref="AM8:AM38" si="9">AL8/AA8</f>
        <v>0</v>
      </c>
      <c r="AN8" s="144">
        <f>AG8</f>
        <v>0</v>
      </c>
      <c r="AO8" s="145">
        <f t="shared" ref="AO8:AO38" si="10">AN8/AA8</f>
        <v>0</v>
      </c>
      <c r="AP8" s="144">
        <f>AH8</f>
        <v>450</v>
      </c>
      <c r="AQ8" s="145">
        <f t="shared" ref="AQ8:AQ38" si="11">AP8/AA8</f>
        <v>1</v>
      </c>
    </row>
    <row r="9" spans="1:43" x14ac:dyDescent="0.25">
      <c r="A9" s="156">
        <v>2</v>
      </c>
      <c r="B9" s="157" t="s">
        <v>5</v>
      </c>
      <c r="C9" s="266">
        <v>16.8</v>
      </c>
      <c r="D9" s="266">
        <f>((4.2+1)*1.3)*2</f>
        <v>13.520000000000001</v>
      </c>
      <c r="E9" s="260">
        <f>[1]September!O7+[2]September!O7+[3]September!O7</f>
        <v>290</v>
      </c>
      <c r="F9" s="87">
        <f t="shared" si="0"/>
        <v>320.32</v>
      </c>
      <c r="G9" s="266">
        <v>15.6</v>
      </c>
      <c r="H9" s="266">
        <f>((5.5+1)*1.3)*2</f>
        <v>16.900000000000002</v>
      </c>
      <c r="I9" s="260">
        <f>[1]September!V7+[2]September!V7+[3]September!V7</f>
        <v>500</v>
      </c>
      <c r="J9" s="87">
        <f t="shared" si="1"/>
        <v>532.5</v>
      </c>
      <c r="K9" s="266">
        <v>12.4</v>
      </c>
      <c r="L9" s="266">
        <v>2.8600000000000003</v>
      </c>
      <c r="M9" s="260">
        <v>115</v>
      </c>
      <c r="N9" s="87">
        <f t="shared" si="2"/>
        <v>130.26</v>
      </c>
      <c r="O9" s="266">
        <v>26</v>
      </c>
      <c r="P9" s="266">
        <f>((4.5+1)*1.3)*2</f>
        <v>14.3</v>
      </c>
      <c r="Q9" s="260">
        <f>[1]September!AC7+[2]September!AC7+[3]November!AC7</f>
        <v>200</v>
      </c>
      <c r="R9" s="87">
        <f t="shared" si="3"/>
        <v>240.3</v>
      </c>
      <c r="S9" s="259">
        <v>0</v>
      </c>
      <c r="T9" s="266">
        <f>((3+3)*1.3)*2</f>
        <v>15.600000000000001</v>
      </c>
      <c r="U9" s="260">
        <f>10+100</f>
        <v>110</v>
      </c>
      <c r="V9" s="87">
        <f t="shared" si="4"/>
        <v>125.6</v>
      </c>
      <c r="W9" s="259">
        <v>0</v>
      </c>
      <c r="X9" s="266">
        <v>59.800000000000004</v>
      </c>
      <c r="Y9" s="260">
        <f>[1]September!AX7+[2]September!AX7+[3]September!AW7</f>
        <v>200</v>
      </c>
      <c r="Z9" s="87">
        <f t="shared" si="5"/>
        <v>259.8</v>
      </c>
      <c r="AA9" s="94">
        <f t="shared" ref="AA9:AA38" si="12">(F9+J9+N9+R9+V9+Z9)</f>
        <v>1608.7799999999997</v>
      </c>
      <c r="AB9" s="96" t="s">
        <v>53</v>
      </c>
      <c r="AC9" s="138"/>
      <c r="AD9" s="146">
        <v>2</v>
      </c>
      <c r="AE9" s="147" t="s">
        <v>5</v>
      </c>
      <c r="AF9" s="141">
        <f t="shared" si="6"/>
        <v>70.8</v>
      </c>
      <c r="AG9" s="141">
        <f>(D9+H9+L12+P9+T9+X9)</f>
        <v>127.14000000000001</v>
      </c>
      <c r="AH9" s="141">
        <f t="shared" si="7"/>
        <v>1415</v>
      </c>
      <c r="AI9" s="108"/>
      <c r="AJ9" s="148">
        <v>2</v>
      </c>
      <c r="AK9" s="149" t="s">
        <v>5</v>
      </c>
      <c r="AL9" s="144">
        <f t="shared" si="8"/>
        <v>70.8</v>
      </c>
      <c r="AM9" s="145">
        <f t="shared" si="9"/>
        <v>4.4008503337933096E-2</v>
      </c>
      <c r="AN9" s="144">
        <f t="shared" ref="AN9:AN38" si="13">AG9</f>
        <v>127.14000000000001</v>
      </c>
      <c r="AO9" s="145">
        <f t="shared" si="10"/>
        <v>7.9028829299220546E-2</v>
      </c>
      <c r="AP9" s="144">
        <f t="shared" ref="AP9:AP38" si="14">AH9</f>
        <v>1415</v>
      </c>
      <c r="AQ9" s="145">
        <f t="shared" si="11"/>
        <v>0.87954847772846523</v>
      </c>
    </row>
    <row r="10" spans="1:43" x14ac:dyDescent="0.25">
      <c r="A10" s="156">
        <v>3</v>
      </c>
      <c r="B10" s="157" t="s">
        <v>6</v>
      </c>
      <c r="C10" s="266">
        <v>11.6</v>
      </c>
      <c r="D10" s="266">
        <f>((2+1)*1.3)*2</f>
        <v>7.8000000000000007</v>
      </c>
      <c r="E10" s="260">
        <f>[1]September!O8+[2]September!O8+[3]September!O8</f>
        <v>230</v>
      </c>
      <c r="F10" s="87">
        <f t="shared" si="0"/>
        <v>249.4</v>
      </c>
      <c r="G10" s="266">
        <v>16.8</v>
      </c>
      <c r="H10" s="266">
        <f>((2.8+1)*1.3)*2</f>
        <v>9.879999999999999</v>
      </c>
      <c r="I10" s="260">
        <f>[1]September!V8+[2]September!V8+[3]September!V8</f>
        <v>400</v>
      </c>
      <c r="J10" s="87">
        <f t="shared" si="1"/>
        <v>426.68</v>
      </c>
      <c r="K10" s="266">
        <v>14</v>
      </c>
      <c r="L10" s="266">
        <v>2.08</v>
      </c>
      <c r="M10" s="260">
        <v>90</v>
      </c>
      <c r="N10" s="87">
        <f t="shared" si="2"/>
        <v>106.08</v>
      </c>
      <c r="O10" s="266">
        <v>28.8</v>
      </c>
      <c r="P10" s="266">
        <f>((4.3+1)*1.3)*2</f>
        <v>13.78</v>
      </c>
      <c r="Q10" s="260">
        <f>[1]September!AC8+[2]September!AC8+[3]November!AC8</f>
        <v>200</v>
      </c>
      <c r="R10" s="87">
        <f t="shared" si="3"/>
        <v>242.57999999999998</v>
      </c>
      <c r="S10" s="259">
        <v>0</v>
      </c>
      <c r="T10" s="266">
        <f>((2+3)*1.3)*2</f>
        <v>13</v>
      </c>
      <c r="U10" s="260">
        <f>100+70</f>
        <v>170</v>
      </c>
      <c r="V10" s="87">
        <f t="shared" si="4"/>
        <v>183</v>
      </c>
      <c r="W10" s="259">
        <v>0</v>
      </c>
      <c r="X10" s="266">
        <v>57.2</v>
      </c>
      <c r="Y10" s="260">
        <f>[1]September!AX8+[2]September!AX8+[3]September!AW8</f>
        <v>200</v>
      </c>
      <c r="Z10" s="87">
        <f t="shared" si="5"/>
        <v>257.2</v>
      </c>
      <c r="AA10" s="94">
        <f t="shared" si="12"/>
        <v>1464.94</v>
      </c>
      <c r="AB10" s="96" t="s">
        <v>53</v>
      </c>
      <c r="AC10" s="138"/>
      <c r="AD10" s="146">
        <v>3</v>
      </c>
      <c r="AE10" s="147" t="s">
        <v>6</v>
      </c>
      <c r="AF10" s="141">
        <f t="shared" si="6"/>
        <v>71.2</v>
      </c>
      <c r="AG10" s="141">
        <f t="shared" si="6"/>
        <v>103.74000000000001</v>
      </c>
      <c r="AH10" s="141">
        <f t="shared" si="7"/>
        <v>1290</v>
      </c>
      <c r="AI10" s="108"/>
      <c r="AJ10" s="148">
        <v>3</v>
      </c>
      <c r="AK10" s="149" t="s">
        <v>6</v>
      </c>
      <c r="AL10" s="144">
        <f t="shared" si="8"/>
        <v>71.2</v>
      </c>
      <c r="AM10" s="145">
        <f t="shared" si="9"/>
        <v>4.8602673147023087E-2</v>
      </c>
      <c r="AN10" s="144">
        <f t="shared" si="13"/>
        <v>103.74000000000001</v>
      </c>
      <c r="AO10" s="145">
        <f t="shared" si="10"/>
        <v>7.0815186970114824E-2</v>
      </c>
      <c r="AP10" s="144">
        <f t="shared" si="14"/>
        <v>1290</v>
      </c>
      <c r="AQ10" s="145">
        <f t="shared" si="11"/>
        <v>0.88058213988286205</v>
      </c>
    </row>
    <row r="11" spans="1:43" x14ac:dyDescent="0.25">
      <c r="A11" s="156">
        <v>4</v>
      </c>
      <c r="B11" s="157" t="s">
        <v>7</v>
      </c>
      <c r="C11" s="266">
        <v>14</v>
      </c>
      <c r="D11" s="266">
        <f>((2+1)*1.3)*2</f>
        <v>7.8000000000000007</v>
      </c>
      <c r="E11" s="260">
        <f>[1]September!O9+[2]September!O9+[3]September!O9</f>
        <v>935</v>
      </c>
      <c r="F11" s="87">
        <f t="shared" si="0"/>
        <v>956.8</v>
      </c>
      <c r="G11" s="266">
        <v>12.4</v>
      </c>
      <c r="H11" s="266">
        <v>8.58</v>
      </c>
      <c r="I11" s="260">
        <f>[1]September!V9+[2]September!V9+[3]September!V9</f>
        <v>1260</v>
      </c>
      <c r="J11" s="87">
        <f t="shared" si="1"/>
        <v>1280.98</v>
      </c>
      <c r="K11" s="266">
        <v>10</v>
      </c>
      <c r="L11" s="266">
        <v>5.4600000000000009</v>
      </c>
      <c r="M11" s="260">
        <v>130</v>
      </c>
      <c r="N11" s="87">
        <f t="shared" si="2"/>
        <v>145.46</v>
      </c>
      <c r="O11" s="266">
        <v>24.4</v>
      </c>
      <c r="P11" s="266">
        <f>((3.3+1)*1.3)*2</f>
        <v>11.18</v>
      </c>
      <c r="Q11" s="260">
        <f>[1]September!AC9+[2]September!AC9+[3]November!AC9</f>
        <v>1100</v>
      </c>
      <c r="R11" s="87">
        <f t="shared" si="3"/>
        <v>1135.58</v>
      </c>
      <c r="S11" s="259">
        <v>0</v>
      </c>
      <c r="T11" s="266">
        <f>((2+1)*1.3)*2</f>
        <v>7.8000000000000007</v>
      </c>
      <c r="U11" s="260">
        <f>40+610</f>
        <v>650</v>
      </c>
      <c r="V11" s="87">
        <f t="shared" si="4"/>
        <v>657.8</v>
      </c>
      <c r="W11" s="259">
        <v>0</v>
      </c>
      <c r="X11" s="266">
        <v>57.2</v>
      </c>
      <c r="Y11" s="260">
        <f>[1]September!AX9+[2]September!AX9+[3]September!AW9</f>
        <v>300</v>
      </c>
      <c r="Z11" s="87">
        <f t="shared" si="5"/>
        <v>357.2</v>
      </c>
      <c r="AA11" s="94">
        <f t="shared" si="12"/>
        <v>4533.82</v>
      </c>
      <c r="AB11" s="96" t="s">
        <v>53</v>
      </c>
      <c r="AC11" s="138"/>
      <c r="AD11" s="146">
        <v>4</v>
      </c>
      <c r="AE11" s="147" t="s">
        <v>7</v>
      </c>
      <c r="AF11" s="141">
        <f t="shared" si="6"/>
        <v>60.8</v>
      </c>
      <c r="AG11" s="141">
        <f>(D11+H11+L11+P11+T11+X11)</f>
        <v>98.02000000000001</v>
      </c>
      <c r="AH11" s="141">
        <f t="shared" si="7"/>
        <v>4375</v>
      </c>
      <c r="AI11" s="108"/>
      <c r="AJ11" s="148">
        <v>4</v>
      </c>
      <c r="AK11" s="149" t="s">
        <v>7</v>
      </c>
      <c r="AL11" s="144">
        <f t="shared" si="8"/>
        <v>60.8</v>
      </c>
      <c r="AM11" s="145">
        <f t="shared" si="9"/>
        <v>1.3410325068044167E-2</v>
      </c>
      <c r="AN11" s="144">
        <f t="shared" si="13"/>
        <v>98.02000000000001</v>
      </c>
      <c r="AO11" s="145">
        <f t="shared" si="10"/>
        <v>2.1619737881080417E-2</v>
      </c>
      <c r="AP11" s="144">
        <f t="shared" si="14"/>
        <v>4375</v>
      </c>
      <c r="AQ11" s="145">
        <f t="shared" si="11"/>
        <v>0.96496993705087553</v>
      </c>
    </row>
    <row r="12" spans="1:43" x14ac:dyDescent="0.25">
      <c r="A12" s="156">
        <v>5</v>
      </c>
      <c r="B12" s="157" t="s">
        <v>8</v>
      </c>
      <c r="C12" s="266">
        <v>11.2</v>
      </c>
      <c r="D12" s="266">
        <v>13.78</v>
      </c>
      <c r="E12" s="260">
        <f>[1]September!O10+[2]September!O10+[3]September!O10</f>
        <v>310</v>
      </c>
      <c r="F12" s="87">
        <f t="shared" si="0"/>
        <v>334.98</v>
      </c>
      <c r="G12" s="266">
        <v>11.6</v>
      </c>
      <c r="H12" s="266">
        <f>((4.4+1)*1.3)*2</f>
        <v>14.040000000000001</v>
      </c>
      <c r="I12" s="260">
        <f>[1]September!V10+[2]September!V10+[3]September!V10</f>
        <v>650</v>
      </c>
      <c r="J12" s="87">
        <f t="shared" si="1"/>
        <v>675.64</v>
      </c>
      <c r="K12" s="266">
        <v>10.8</v>
      </c>
      <c r="L12" s="266">
        <v>7.0200000000000005</v>
      </c>
      <c r="M12" s="260">
        <v>170</v>
      </c>
      <c r="N12" s="87">
        <f t="shared" si="2"/>
        <v>187.82</v>
      </c>
      <c r="O12" s="266">
        <v>23.6</v>
      </c>
      <c r="P12" s="266">
        <v>7.0200000000000005</v>
      </c>
      <c r="Q12" s="260">
        <f>[1]September!AC10+[2]September!AC10+[3]November!AC10</f>
        <v>675</v>
      </c>
      <c r="R12" s="87">
        <f t="shared" si="3"/>
        <v>705.62</v>
      </c>
      <c r="S12" s="259">
        <v>0</v>
      </c>
      <c r="T12" s="266">
        <f>((2+3)*1.3)*2</f>
        <v>13</v>
      </c>
      <c r="U12" s="260">
        <f>170+70</f>
        <v>240</v>
      </c>
      <c r="V12" s="87">
        <f t="shared" si="4"/>
        <v>253</v>
      </c>
      <c r="W12" s="259">
        <v>0</v>
      </c>
      <c r="X12" s="266">
        <v>57.2</v>
      </c>
      <c r="Y12" s="260">
        <f>[1]September!AX10+[2]September!AX10+[3]September!AW10</f>
        <v>275</v>
      </c>
      <c r="Z12" s="87">
        <f t="shared" si="5"/>
        <v>332.2</v>
      </c>
      <c r="AA12" s="94">
        <f t="shared" si="12"/>
        <v>2489.2599999999998</v>
      </c>
      <c r="AB12" s="96" t="s">
        <v>53</v>
      </c>
      <c r="AC12" s="138"/>
      <c r="AD12" s="146">
        <v>5</v>
      </c>
      <c r="AE12" s="147" t="s">
        <v>8</v>
      </c>
      <c r="AF12" s="141">
        <f t="shared" si="6"/>
        <v>57.199999999999996</v>
      </c>
      <c r="AG12" s="141">
        <f t="shared" ref="AG12:AG13" si="15">(D12+H12+L12+P12+T12+X12)</f>
        <v>112.06</v>
      </c>
      <c r="AH12" s="141">
        <f t="shared" si="7"/>
        <v>2320</v>
      </c>
      <c r="AI12" s="108"/>
      <c r="AJ12" s="148">
        <v>5</v>
      </c>
      <c r="AK12" s="149" t="s">
        <v>8</v>
      </c>
      <c r="AL12" s="144">
        <f t="shared" si="8"/>
        <v>57.199999999999996</v>
      </c>
      <c r="AM12" s="145">
        <f t="shared" si="9"/>
        <v>2.2978716566369121E-2</v>
      </c>
      <c r="AN12" s="144">
        <f t="shared" si="13"/>
        <v>112.06</v>
      </c>
      <c r="AO12" s="145">
        <f t="shared" si="10"/>
        <v>4.5017394727750418E-2</v>
      </c>
      <c r="AP12" s="144">
        <f t="shared" si="14"/>
        <v>2320</v>
      </c>
      <c r="AQ12" s="145">
        <f t="shared" si="11"/>
        <v>0.93200388870588058</v>
      </c>
    </row>
    <row r="13" spans="1:43" x14ac:dyDescent="0.25">
      <c r="A13" s="156">
        <v>6</v>
      </c>
      <c r="B13" s="157" t="s">
        <v>9</v>
      </c>
      <c r="C13" s="266">
        <v>14.4</v>
      </c>
      <c r="D13" s="266">
        <f>((2+1)*1.3)*2</f>
        <v>7.8000000000000007</v>
      </c>
      <c r="E13" s="260">
        <f>[1]September!O11+[2]September!O11+[3]September!O11</f>
        <v>480</v>
      </c>
      <c r="F13" s="87">
        <f t="shared" si="0"/>
        <v>502.2</v>
      </c>
      <c r="G13" s="266">
        <v>13.6</v>
      </c>
      <c r="H13" s="266">
        <v>14.559999999999999</v>
      </c>
      <c r="I13" s="260">
        <f>[1]September!V11+[2]September!V11+[3]September!V11</f>
        <v>620</v>
      </c>
      <c r="J13" s="87">
        <f t="shared" si="1"/>
        <v>648.16</v>
      </c>
      <c r="K13" s="266">
        <v>13.2</v>
      </c>
      <c r="L13" s="266">
        <v>3.9000000000000004</v>
      </c>
      <c r="M13" s="260">
        <v>120</v>
      </c>
      <c r="N13" s="87">
        <f t="shared" si="2"/>
        <v>137.1</v>
      </c>
      <c r="O13" s="266">
        <v>30</v>
      </c>
      <c r="P13" s="266">
        <f>((4.2+1)*1.3)*2</f>
        <v>13.520000000000001</v>
      </c>
      <c r="Q13" s="260">
        <f>[1]September!AC11+[2]September!AC11+[3]November!AC11</f>
        <v>1110</v>
      </c>
      <c r="R13" s="87">
        <f t="shared" si="3"/>
        <v>1153.52</v>
      </c>
      <c r="S13" s="259">
        <v>0</v>
      </c>
      <c r="T13" s="266">
        <f>((2+2)*1.3)*2</f>
        <v>10.4</v>
      </c>
      <c r="U13" s="260">
        <f>220+190</f>
        <v>410</v>
      </c>
      <c r="V13" s="87">
        <f t="shared" si="4"/>
        <v>420.4</v>
      </c>
      <c r="W13" s="259">
        <v>0</v>
      </c>
      <c r="X13" s="266">
        <v>57.2</v>
      </c>
      <c r="Y13" s="260">
        <f>[1]September!AX11+[2]September!AX11+[3]September!AW11</f>
        <v>300</v>
      </c>
      <c r="Z13" s="87">
        <f t="shared" si="5"/>
        <v>357.2</v>
      </c>
      <c r="AA13" s="94">
        <f t="shared" si="12"/>
        <v>3218.5799999999995</v>
      </c>
      <c r="AB13" s="96" t="s">
        <v>53</v>
      </c>
      <c r="AC13" s="138"/>
      <c r="AD13" s="146">
        <v>6</v>
      </c>
      <c r="AE13" s="147" t="s">
        <v>9</v>
      </c>
      <c r="AF13" s="141">
        <f t="shared" si="6"/>
        <v>71.2</v>
      </c>
      <c r="AG13" s="141">
        <f t="shared" si="15"/>
        <v>107.38</v>
      </c>
      <c r="AH13" s="141">
        <f t="shared" si="7"/>
        <v>3040</v>
      </c>
      <c r="AI13" s="108"/>
      <c r="AJ13" s="148">
        <v>6</v>
      </c>
      <c r="AK13" s="149" t="s">
        <v>9</v>
      </c>
      <c r="AL13" s="144">
        <f t="shared" si="8"/>
        <v>71.2</v>
      </c>
      <c r="AM13" s="145">
        <f t="shared" si="9"/>
        <v>2.2121556711344758E-2</v>
      </c>
      <c r="AN13" s="144">
        <f t="shared" si="13"/>
        <v>107.38</v>
      </c>
      <c r="AO13" s="145">
        <f t="shared" si="10"/>
        <v>3.3362538759328653E-2</v>
      </c>
      <c r="AP13" s="144">
        <f t="shared" si="14"/>
        <v>3040</v>
      </c>
      <c r="AQ13" s="145">
        <f t="shared" si="11"/>
        <v>0.94451590452932677</v>
      </c>
    </row>
    <row r="14" spans="1:43" x14ac:dyDescent="0.25">
      <c r="A14" s="156">
        <v>7</v>
      </c>
      <c r="B14" s="157" t="s">
        <v>10</v>
      </c>
      <c r="C14" s="266">
        <v>0</v>
      </c>
      <c r="D14" s="266">
        <v>0</v>
      </c>
      <c r="E14" s="260">
        <f>[1]September!O12+[2]September!O12+[3]September!O12</f>
        <v>125</v>
      </c>
      <c r="F14" s="87">
        <f t="shared" si="0"/>
        <v>125</v>
      </c>
      <c r="G14" s="266">
        <v>0</v>
      </c>
      <c r="H14" s="266">
        <v>0</v>
      </c>
      <c r="I14" s="260">
        <f>[1]September!V12+[2]September!V12+[3]September!V12</f>
        <v>220</v>
      </c>
      <c r="J14" s="87">
        <f t="shared" si="1"/>
        <v>220</v>
      </c>
      <c r="K14" s="266">
        <v>14</v>
      </c>
      <c r="L14" s="266">
        <v>7.8000000000000007</v>
      </c>
      <c r="M14" s="260">
        <v>95</v>
      </c>
      <c r="N14" s="87">
        <f t="shared" si="2"/>
        <v>116.8</v>
      </c>
      <c r="O14" s="266">
        <v>0</v>
      </c>
      <c r="P14" s="266">
        <v>0</v>
      </c>
      <c r="Q14" s="260">
        <f>[1]September!AC12+[2]September!AC12+[3]November!AC12</f>
        <v>700</v>
      </c>
      <c r="R14" s="87">
        <f t="shared" si="3"/>
        <v>700</v>
      </c>
      <c r="S14" s="259">
        <v>0</v>
      </c>
      <c r="T14" s="266">
        <v>0</v>
      </c>
      <c r="U14" s="260">
        <v>25</v>
      </c>
      <c r="V14" s="87">
        <f t="shared" si="4"/>
        <v>25</v>
      </c>
      <c r="W14" s="259">
        <v>0</v>
      </c>
      <c r="X14" s="266">
        <v>0</v>
      </c>
      <c r="Y14" s="260">
        <f>[1]September!AX12+[2]September!AX12+[3]September!AW12</f>
        <v>100</v>
      </c>
      <c r="Z14" s="87">
        <f t="shared" si="5"/>
        <v>100</v>
      </c>
      <c r="AA14" s="94">
        <f t="shared" si="12"/>
        <v>1286.8</v>
      </c>
      <c r="AB14" s="96" t="s">
        <v>53</v>
      </c>
      <c r="AC14" s="138"/>
      <c r="AD14" s="146">
        <v>7</v>
      </c>
      <c r="AE14" s="147" t="s">
        <v>10</v>
      </c>
      <c r="AF14" s="141">
        <f t="shared" si="6"/>
        <v>14</v>
      </c>
      <c r="AG14" s="141">
        <f t="shared" si="6"/>
        <v>7.8000000000000007</v>
      </c>
      <c r="AH14" s="141">
        <f t="shared" si="7"/>
        <v>1265</v>
      </c>
      <c r="AI14" s="108"/>
      <c r="AJ14" s="148">
        <v>7</v>
      </c>
      <c r="AK14" s="149" t="s">
        <v>10</v>
      </c>
      <c r="AL14" s="144">
        <f t="shared" si="8"/>
        <v>14</v>
      </c>
      <c r="AM14" s="145">
        <f t="shared" si="9"/>
        <v>1.0879701585327946E-2</v>
      </c>
      <c r="AN14" s="144">
        <f t="shared" si="13"/>
        <v>7.8000000000000007</v>
      </c>
      <c r="AO14" s="145">
        <f t="shared" si="10"/>
        <v>6.0615480261112849E-3</v>
      </c>
      <c r="AP14" s="144">
        <f t="shared" si="14"/>
        <v>1265</v>
      </c>
      <c r="AQ14" s="145">
        <f t="shared" si="11"/>
        <v>0.98305875038856083</v>
      </c>
    </row>
    <row r="15" spans="1:43" x14ac:dyDescent="0.25">
      <c r="A15" s="156">
        <v>8</v>
      </c>
      <c r="B15" s="157" t="s">
        <v>11</v>
      </c>
      <c r="C15" s="266">
        <v>0</v>
      </c>
      <c r="D15" s="266">
        <v>0</v>
      </c>
      <c r="E15" s="260">
        <f>[1]September!O13+[2]September!O13+[3]September!O13</f>
        <v>0</v>
      </c>
      <c r="F15" s="87">
        <f t="shared" si="0"/>
        <v>0</v>
      </c>
      <c r="G15" s="266">
        <v>0</v>
      </c>
      <c r="H15" s="266">
        <v>0</v>
      </c>
      <c r="I15" s="260">
        <f>[1]September!V13+[2]September!V13+[3]September!V13</f>
        <v>0</v>
      </c>
      <c r="J15" s="87">
        <f t="shared" si="1"/>
        <v>0</v>
      </c>
      <c r="K15" s="266">
        <v>11.2</v>
      </c>
      <c r="L15" s="266">
        <v>8.58</v>
      </c>
      <c r="M15" s="260"/>
      <c r="N15" s="87">
        <f t="shared" si="2"/>
        <v>19.78</v>
      </c>
      <c r="O15" s="266">
        <v>0</v>
      </c>
      <c r="P15" s="266">
        <v>0</v>
      </c>
      <c r="Q15" s="260">
        <f>[1]September!AC13+[2]September!AC13+[3]November!AC13</f>
        <v>400</v>
      </c>
      <c r="R15" s="87">
        <f t="shared" si="3"/>
        <v>400</v>
      </c>
      <c r="S15" s="259">
        <v>0</v>
      </c>
      <c r="T15" s="266">
        <v>0</v>
      </c>
      <c r="U15" s="260"/>
      <c r="V15" s="87">
        <f t="shared" si="4"/>
        <v>0</v>
      </c>
      <c r="W15" s="259">
        <v>0</v>
      </c>
      <c r="X15" s="266">
        <v>0</v>
      </c>
      <c r="Y15" s="260">
        <f>[1]September!AX13+[2]September!AX13+[3]September!AW13</f>
        <v>0</v>
      </c>
      <c r="Z15" s="87">
        <f t="shared" si="5"/>
        <v>0</v>
      </c>
      <c r="AA15" s="94">
        <f t="shared" si="12"/>
        <v>419.78</v>
      </c>
      <c r="AB15" s="96" t="s">
        <v>53</v>
      </c>
      <c r="AC15" s="138"/>
      <c r="AD15" s="146">
        <v>8</v>
      </c>
      <c r="AE15" s="147" t="s">
        <v>11</v>
      </c>
      <c r="AF15" s="141">
        <f t="shared" si="6"/>
        <v>11.2</v>
      </c>
      <c r="AG15" s="141">
        <f t="shared" si="6"/>
        <v>8.58</v>
      </c>
      <c r="AH15" s="141">
        <f t="shared" si="7"/>
        <v>400</v>
      </c>
      <c r="AI15" s="108"/>
      <c r="AJ15" s="148">
        <v>8</v>
      </c>
      <c r="AK15" s="149" t="s">
        <v>11</v>
      </c>
      <c r="AL15" s="144">
        <f t="shared" si="8"/>
        <v>11.2</v>
      </c>
      <c r="AM15" s="145">
        <f t="shared" si="9"/>
        <v>2.668064224117395E-2</v>
      </c>
      <c r="AN15" s="144">
        <f t="shared" si="13"/>
        <v>8.58</v>
      </c>
      <c r="AO15" s="145">
        <f t="shared" si="10"/>
        <v>2.043927771689933E-2</v>
      </c>
      <c r="AP15" s="144">
        <f t="shared" si="14"/>
        <v>400</v>
      </c>
      <c r="AQ15" s="145">
        <f t="shared" si="11"/>
        <v>0.95288008004192681</v>
      </c>
    </row>
    <row r="16" spans="1:43" x14ac:dyDescent="0.25">
      <c r="A16" s="156">
        <v>9</v>
      </c>
      <c r="B16" s="157" t="s">
        <v>12</v>
      </c>
      <c r="C16" s="266">
        <v>19.2</v>
      </c>
      <c r="D16" s="266">
        <f>((3.4+1)*1.3)*2</f>
        <v>11.440000000000001</v>
      </c>
      <c r="E16" s="260">
        <f>[1]September!O14+[2]September!O14+[3]September!O14</f>
        <v>245</v>
      </c>
      <c r="F16" s="87">
        <f t="shared" si="0"/>
        <v>275.64</v>
      </c>
      <c r="G16" s="266">
        <v>19.2</v>
      </c>
      <c r="H16" s="266">
        <f>((2+1)*1.3)*2</f>
        <v>7.8000000000000007</v>
      </c>
      <c r="I16" s="260">
        <f>[1]September!V14+[2]September!V14+[3]September!V14</f>
        <v>400</v>
      </c>
      <c r="J16" s="87">
        <f t="shared" si="1"/>
        <v>427</v>
      </c>
      <c r="K16" s="266">
        <v>10.8</v>
      </c>
      <c r="L16" s="266">
        <v>4.9399999999999995</v>
      </c>
      <c r="M16" s="260">
        <v>125</v>
      </c>
      <c r="N16" s="87">
        <f t="shared" si="2"/>
        <v>140.74</v>
      </c>
      <c r="O16" s="266">
        <v>19.600000000000001</v>
      </c>
      <c r="P16" s="266">
        <f>((4.4+1)*1.3)*2</f>
        <v>14.040000000000001</v>
      </c>
      <c r="Q16" s="260">
        <f>[1]September!AC14+[2]September!AC14+[3]November!AC14</f>
        <v>200</v>
      </c>
      <c r="R16" s="87">
        <f t="shared" si="3"/>
        <v>233.64</v>
      </c>
      <c r="S16" s="259">
        <v>0</v>
      </c>
      <c r="T16" s="266">
        <f>((2+2)*1.3)*2</f>
        <v>10.4</v>
      </c>
      <c r="U16" s="260">
        <f>25+45</f>
        <v>70</v>
      </c>
      <c r="V16" s="87">
        <f t="shared" si="4"/>
        <v>80.400000000000006</v>
      </c>
      <c r="W16" s="259">
        <v>0</v>
      </c>
      <c r="X16" s="266">
        <v>57.2</v>
      </c>
      <c r="Y16" s="260">
        <f>[1]September!AX14+[2]September!AX14+[3]September!AW14</f>
        <v>200</v>
      </c>
      <c r="Z16" s="87">
        <f t="shared" si="5"/>
        <v>257.2</v>
      </c>
      <c r="AA16" s="94">
        <f t="shared" si="12"/>
        <v>1414.6200000000001</v>
      </c>
      <c r="AB16" s="96" t="s">
        <v>53</v>
      </c>
      <c r="AC16" s="138"/>
      <c r="AD16" s="146">
        <v>9</v>
      </c>
      <c r="AE16" s="147" t="s">
        <v>12</v>
      </c>
      <c r="AF16" s="141">
        <f t="shared" si="6"/>
        <v>68.800000000000011</v>
      </c>
      <c r="AG16" s="141">
        <f t="shared" si="6"/>
        <v>105.82</v>
      </c>
      <c r="AH16" s="141">
        <f t="shared" si="7"/>
        <v>1240</v>
      </c>
      <c r="AI16" s="108"/>
      <c r="AJ16" s="148">
        <v>9</v>
      </c>
      <c r="AK16" s="149" t="s">
        <v>12</v>
      </c>
      <c r="AL16" s="144">
        <f t="shared" si="8"/>
        <v>68.800000000000011</v>
      </c>
      <c r="AM16" s="145">
        <f t="shared" si="9"/>
        <v>4.8634969108311776E-2</v>
      </c>
      <c r="AN16" s="144">
        <f t="shared" si="13"/>
        <v>105.82</v>
      </c>
      <c r="AO16" s="145">
        <f t="shared" si="10"/>
        <v>7.480454114885976E-2</v>
      </c>
      <c r="AP16" s="144">
        <f t="shared" si="14"/>
        <v>1240</v>
      </c>
      <c r="AQ16" s="145">
        <f t="shared" si="11"/>
        <v>0.87656048974282841</v>
      </c>
    </row>
    <row r="17" spans="1:43" x14ac:dyDescent="0.25">
      <c r="A17" s="156">
        <v>10</v>
      </c>
      <c r="B17" s="157" t="s">
        <v>13</v>
      </c>
      <c r="C17" s="266">
        <v>14</v>
      </c>
      <c r="D17" s="266">
        <v>5.2</v>
      </c>
      <c r="E17" s="260">
        <f>[1]September!O15+[2]September!O15+[3]September!O15</f>
        <v>235</v>
      </c>
      <c r="F17" s="87">
        <f t="shared" si="0"/>
        <v>254.2</v>
      </c>
      <c r="G17" s="266">
        <v>15.6</v>
      </c>
      <c r="H17" s="266">
        <f>((2+1)*1.3)*2</f>
        <v>7.8000000000000007</v>
      </c>
      <c r="I17" s="260">
        <f>[1]September!V15+[2]September!V15+[3]September!V15</f>
        <v>675</v>
      </c>
      <c r="J17" s="87">
        <f t="shared" si="1"/>
        <v>698.4</v>
      </c>
      <c r="K17" s="266">
        <v>11.6</v>
      </c>
      <c r="L17" s="266">
        <v>9.3600000000000012</v>
      </c>
      <c r="M17" s="260">
        <v>100</v>
      </c>
      <c r="N17" s="87">
        <f t="shared" si="2"/>
        <v>120.96000000000001</v>
      </c>
      <c r="O17" s="266">
        <v>20.399999999999999</v>
      </c>
      <c r="P17" s="266">
        <v>13.78</v>
      </c>
      <c r="Q17" s="260">
        <f>[1]September!AC15+[2]September!AC15+[3]November!AC15</f>
        <v>200</v>
      </c>
      <c r="R17" s="87">
        <f t="shared" si="3"/>
        <v>234.18</v>
      </c>
      <c r="S17" s="259">
        <v>0</v>
      </c>
      <c r="T17" s="266">
        <f>((2+2)*1.3)*2</f>
        <v>10.4</v>
      </c>
      <c r="U17" s="260">
        <f>60+130</f>
        <v>190</v>
      </c>
      <c r="V17" s="87">
        <f t="shared" si="4"/>
        <v>200.4</v>
      </c>
      <c r="W17" s="259">
        <v>0</v>
      </c>
      <c r="X17" s="266">
        <v>57.2</v>
      </c>
      <c r="Y17" s="260">
        <f>[1]September!AX15+[2]September!AX15+[3]September!AW15</f>
        <v>200</v>
      </c>
      <c r="Z17" s="87">
        <f t="shared" si="5"/>
        <v>257.2</v>
      </c>
      <c r="AA17" s="94">
        <f t="shared" si="12"/>
        <v>1765.3400000000001</v>
      </c>
      <c r="AB17" s="96" t="s">
        <v>53</v>
      </c>
      <c r="AC17" s="138"/>
      <c r="AD17" s="146">
        <v>10</v>
      </c>
      <c r="AE17" s="147" t="s">
        <v>13</v>
      </c>
      <c r="AF17" s="141">
        <f>(C17+G17+K17+O17+S17+W17)</f>
        <v>61.6</v>
      </c>
      <c r="AG17" s="141">
        <f>(D17+H17+L17+P17+T17+X17)</f>
        <v>103.74000000000001</v>
      </c>
      <c r="AH17" s="141">
        <f>(E17+I17+M17+Q17++U17+Y17)</f>
        <v>1600</v>
      </c>
      <c r="AI17" s="108"/>
      <c r="AJ17" s="148">
        <v>10</v>
      </c>
      <c r="AK17" s="149" t="s">
        <v>13</v>
      </c>
      <c r="AL17" s="144">
        <f t="shared" si="8"/>
        <v>61.6</v>
      </c>
      <c r="AM17" s="145">
        <f t="shared" si="9"/>
        <v>3.4894128043323099E-2</v>
      </c>
      <c r="AN17" s="144">
        <f t="shared" si="13"/>
        <v>103.74000000000001</v>
      </c>
      <c r="AO17" s="145">
        <f t="shared" si="10"/>
        <v>5.8764883818414583E-2</v>
      </c>
      <c r="AP17" s="144">
        <f t="shared" si="14"/>
        <v>1600</v>
      </c>
      <c r="AQ17" s="145">
        <f t="shared" si="11"/>
        <v>0.90634098813826225</v>
      </c>
    </row>
    <row r="18" spans="1:43" x14ac:dyDescent="0.25">
      <c r="A18" s="156">
        <v>11</v>
      </c>
      <c r="B18" s="157" t="s">
        <v>14</v>
      </c>
      <c r="C18" s="266">
        <v>10.8</v>
      </c>
      <c r="D18" s="266">
        <f>((2.1+1)*1.3)*2</f>
        <v>8.06</v>
      </c>
      <c r="E18" s="260">
        <f>[1]September!O16+[2]September!O16+[3]September!O16</f>
        <v>295</v>
      </c>
      <c r="F18" s="87">
        <f t="shared" si="0"/>
        <v>313.86</v>
      </c>
      <c r="G18" s="266">
        <v>16.8</v>
      </c>
      <c r="H18" s="266">
        <v>13.26</v>
      </c>
      <c r="I18" s="260">
        <f>[1]September!V16+[2]September!V16+[3]September!V16</f>
        <v>350</v>
      </c>
      <c r="J18" s="87">
        <f t="shared" si="1"/>
        <v>380.06</v>
      </c>
      <c r="K18" s="266">
        <v>14</v>
      </c>
      <c r="L18" s="266">
        <v>6.5</v>
      </c>
      <c r="M18" s="260">
        <v>105</v>
      </c>
      <c r="N18" s="87">
        <f t="shared" si="2"/>
        <v>125.5</v>
      </c>
      <c r="O18" s="266">
        <v>24.8</v>
      </c>
      <c r="P18" s="266">
        <f>((4.8+1)*1.3)*2</f>
        <v>15.08</v>
      </c>
      <c r="Q18" s="260">
        <f>[1]September!AC16+[2]September!AC16+[3]November!AC16</f>
        <v>850</v>
      </c>
      <c r="R18" s="87">
        <f t="shared" si="3"/>
        <v>889.88</v>
      </c>
      <c r="S18" s="259">
        <v>0</v>
      </c>
      <c r="T18" s="266">
        <f>((1+2)*1.3)*2</f>
        <v>7.8000000000000007</v>
      </c>
      <c r="U18" s="260">
        <f>10+45</f>
        <v>55</v>
      </c>
      <c r="V18" s="87">
        <f t="shared" si="4"/>
        <v>62.8</v>
      </c>
      <c r="W18" s="259">
        <v>0</v>
      </c>
      <c r="X18" s="266">
        <v>2.6</v>
      </c>
      <c r="Y18" s="260">
        <f>[1]September!AX16+[2]September!AX16+[3]September!AW16</f>
        <v>150</v>
      </c>
      <c r="Z18" s="87">
        <f t="shared" si="5"/>
        <v>152.6</v>
      </c>
      <c r="AA18" s="94">
        <f t="shared" si="12"/>
        <v>1924.7</v>
      </c>
      <c r="AB18" s="96" t="s">
        <v>53</v>
      </c>
      <c r="AC18" s="138"/>
      <c r="AD18" s="146">
        <v>11</v>
      </c>
      <c r="AE18" s="147" t="s">
        <v>14</v>
      </c>
      <c r="AF18" s="141">
        <f t="shared" ref="AF18:AG38" si="16">(C18+G18+K18+O18+S18+W18)</f>
        <v>66.400000000000006</v>
      </c>
      <c r="AG18" s="141">
        <f t="shared" si="16"/>
        <v>53.300000000000004</v>
      </c>
      <c r="AH18" s="141">
        <f t="shared" ref="AH18:AH38" si="17">(E18+I18+M18+Q18++U18+Y18)</f>
        <v>1805</v>
      </c>
      <c r="AI18" s="108"/>
      <c r="AJ18" s="148">
        <v>11</v>
      </c>
      <c r="AK18" s="149" t="s">
        <v>14</v>
      </c>
      <c r="AL18" s="144">
        <f t="shared" si="8"/>
        <v>66.400000000000006</v>
      </c>
      <c r="AM18" s="145">
        <f t="shared" si="9"/>
        <v>3.449888294279628E-2</v>
      </c>
      <c r="AN18" s="144">
        <f t="shared" si="13"/>
        <v>53.300000000000004</v>
      </c>
      <c r="AO18" s="145">
        <f t="shared" si="10"/>
        <v>2.769262742245545E-2</v>
      </c>
      <c r="AP18" s="144">
        <f t="shared" si="14"/>
        <v>1805</v>
      </c>
      <c r="AQ18" s="145">
        <f t="shared" si="11"/>
        <v>0.93780848963474828</v>
      </c>
    </row>
    <row r="19" spans="1:43" x14ac:dyDescent="0.25">
      <c r="A19" s="156">
        <v>12</v>
      </c>
      <c r="B19" s="157" t="s">
        <v>15</v>
      </c>
      <c r="C19" s="266">
        <v>12.8</v>
      </c>
      <c r="D19" s="266">
        <v>13.520000000000001</v>
      </c>
      <c r="E19" s="260">
        <f>[1]September!O17+[2]September!O17+[3]September!O17</f>
        <v>240</v>
      </c>
      <c r="F19" s="87">
        <f t="shared" si="0"/>
        <v>266.32</v>
      </c>
      <c r="G19" s="266">
        <v>20.399999999999999</v>
      </c>
      <c r="H19" s="266">
        <f>((3.6+1)*1.3)*2</f>
        <v>11.959999999999999</v>
      </c>
      <c r="I19" s="260">
        <f>[1]September!V17+[2]September!V17+[3]September!V17</f>
        <v>350</v>
      </c>
      <c r="J19" s="87">
        <f t="shared" si="1"/>
        <v>382.36</v>
      </c>
      <c r="K19" s="266">
        <v>14.8</v>
      </c>
      <c r="L19" s="266">
        <v>5.2</v>
      </c>
      <c r="M19" s="260">
        <v>100</v>
      </c>
      <c r="N19" s="87">
        <f t="shared" si="2"/>
        <v>120</v>
      </c>
      <c r="O19" s="266">
        <v>23.2</v>
      </c>
      <c r="P19" s="266">
        <f>((4.1+1)*1.3)*2</f>
        <v>13.26</v>
      </c>
      <c r="Q19" s="260">
        <f>[1]September!AC17+[2]September!AC17+[3]November!AC17</f>
        <v>1100</v>
      </c>
      <c r="R19" s="87">
        <f t="shared" si="3"/>
        <v>1136.46</v>
      </c>
      <c r="S19" s="259">
        <v>0</v>
      </c>
      <c r="T19" s="266">
        <f>((1+1)*1.3)*2</f>
        <v>5.2</v>
      </c>
      <c r="U19" s="260">
        <f>110+35</f>
        <v>145</v>
      </c>
      <c r="V19" s="87">
        <f t="shared" si="4"/>
        <v>150.19999999999999</v>
      </c>
      <c r="W19" s="259">
        <v>0</v>
      </c>
      <c r="X19" s="266">
        <v>54.6</v>
      </c>
      <c r="Y19" s="260">
        <f>[1]September!AX17+[2]September!AX17+[3]September!AW17</f>
        <v>200</v>
      </c>
      <c r="Z19" s="87">
        <f t="shared" si="5"/>
        <v>254.6</v>
      </c>
      <c r="AA19" s="94">
        <f t="shared" si="12"/>
        <v>2309.94</v>
      </c>
      <c r="AB19" s="96" t="s">
        <v>53</v>
      </c>
      <c r="AC19" s="138"/>
      <c r="AD19" s="146">
        <v>12</v>
      </c>
      <c r="AE19" s="147" t="s">
        <v>15</v>
      </c>
      <c r="AF19" s="141">
        <f t="shared" si="16"/>
        <v>71.2</v>
      </c>
      <c r="AG19" s="141">
        <f t="shared" si="16"/>
        <v>103.74000000000001</v>
      </c>
      <c r="AH19" s="141">
        <f t="shared" si="17"/>
        <v>2135</v>
      </c>
      <c r="AI19" s="108"/>
      <c r="AJ19" s="148">
        <v>12</v>
      </c>
      <c r="AK19" s="149" t="s">
        <v>15</v>
      </c>
      <c r="AL19" s="144">
        <f t="shared" si="8"/>
        <v>71.2</v>
      </c>
      <c r="AM19" s="145">
        <f t="shared" si="9"/>
        <v>3.0823311428002459E-2</v>
      </c>
      <c r="AN19" s="144">
        <f t="shared" si="13"/>
        <v>103.74000000000001</v>
      </c>
      <c r="AO19" s="145">
        <f t="shared" si="10"/>
        <v>4.4910257409283359E-2</v>
      </c>
      <c r="AP19" s="144">
        <f t="shared" si="14"/>
        <v>2135</v>
      </c>
      <c r="AQ19" s="145">
        <f t="shared" si="11"/>
        <v>0.92426643116271412</v>
      </c>
    </row>
    <row r="20" spans="1:43" x14ac:dyDescent="0.25">
      <c r="A20" s="156">
        <v>13</v>
      </c>
      <c r="B20" s="157" t="s">
        <v>16</v>
      </c>
      <c r="C20" s="266">
        <v>15.2</v>
      </c>
      <c r="D20" s="266">
        <v>0</v>
      </c>
      <c r="E20" s="260">
        <f>[1]September!O18+[2]September!O18+[3]September!O18</f>
        <v>215</v>
      </c>
      <c r="F20" s="87">
        <f t="shared" si="0"/>
        <v>230.2</v>
      </c>
      <c r="G20" s="266">
        <v>15.2</v>
      </c>
      <c r="H20" s="266">
        <f>((1.4+1)*1.3)*2</f>
        <v>6.24</v>
      </c>
      <c r="I20" s="260">
        <f>[1]September!V18+[2]September!V18+[3]September!V18</f>
        <v>400</v>
      </c>
      <c r="J20" s="87">
        <f t="shared" si="1"/>
        <v>421.44</v>
      </c>
      <c r="K20" s="266">
        <v>13.6</v>
      </c>
      <c r="L20" s="266">
        <v>2.08</v>
      </c>
      <c r="M20" s="260">
        <v>100</v>
      </c>
      <c r="N20" s="87">
        <f t="shared" si="2"/>
        <v>115.68</v>
      </c>
      <c r="O20" s="266">
        <v>26</v>
      </c>
      <c r="P20" s="266">
        <v>7.8000000000000007</v>
      </c>
      <c r="Q20" s="260">
        <f>[1]September!AC18+[2]September!AC18+[3]November!AC18</f>
        <v>850</v>
      </c>
      <c r="R20" s="87">
        <f t="shared" si="3"/>
        <v>883.8</v>
      </c>
      <c r="S20" s="259">
        <v>0</v>
      </c>
      <c r="T20" s="266">
        <v>5.2</v>
      </c>
      <c r="U20" s="260">
        <f>180+20</f>
        <v>200</v>
      </c>
      <c r="V20" s="87">
        <f t="shared" si="4"/>
        <v>205.2</v>
      </c>
      <c r="W20" s="259">
        <v>0</v>
      </c>
      <c r="X20" s="266">
        <v>52</v>
      </c>
      <c r="Y20" s="260">
        <f>[1]September!AX18+[2]September!AX18+[3]September!AW18</f>
        <v>200</v>
      </c>
      <c r="Z20" s="87">
        <f t="shared" si="5"/>
        <v>252</v>
      </c>
      <c r="AA20" s="94">
        <f t="shared" si="12"/>
        <v>2108.3199999999997</v>
      </c>
      <c r="AB20" s="96" t="s">
        <v>53</v>
      </c>
      <c r="AC20" s="138"/>
      <c r="AD20" s="146">
        <v>13</v>
      </c>
      <c r="AE20" s="147" t="s">
        <v>16</v>
      </c>
      <c r="AF20" s="141">
        <f t="shared" si="16"/>
        <v>70</v>
      </c>
      <c r="AG20" s="141">
        <f t="shared" si="16"/>
        <v>73.319999999999993</v>
      </c>
      <c r="AH20" s="141">
        <f t="shared" si="17"/>
        <v>1965</v>
      </c>
      <c r="AI20" s="108"/>
      <c r="AJ20" s="148">
        <v>13</v>
      </c>
      <c r="AK20" s="149" t="s">
        <v>16</v>
      </c>
      <c r="AL20" s="144">
        <f t="shared" si="8"/>
        <v>70</v>
      </c>
      <c r="AM20" s="145">
        <f t="shared" si="9"/>
        <v>3.3201790999468773E-2</v>
      </c>
      <c r="AN20" s="144">
        <f t="shared" si="13"/>
        <v>73.319999999999993</v>
      </c>
      <c r="AO20" s="145">
        <f t="shared" si="10"/>
        <v>3.4776504515443576E-2</v>
      </c>
      <c r="AP20" s="144">
        <f t="shared" si="14"/>
        <v>1965</v>
      </c>
      <c r="AQ20" s="145">
        <f t="shared" si="11"/>
        <v>0.93202170448508781</v>
      </c>
    </row>
    <row r="21" spans="1:43" x14ac:dyDescent="0.25">
      <c r="A21" s="156">
        <v>14</v>
      </c>
      <c r="B21" s="157" t="s">
        <v>17</v>
      </c>
      <c r="C21" s="266">
        <v>0</v>
      </c>
      <c r="D21" s="266">
        <v>0</v>
      </c>
      <c r="E21" s="260">
        <f>[1]September!O19+[2]September!O19+[3]September!O19</f>
        <v>145</v>
      </c>
      <c r="F21" s="87">
        <f t="shared" si="0"/>
        <v>145</v>
      </c>
      <c r="G21" s="266">
        <v>0</v>
      </c>
      <c r="H21" s="266">
        <v>0</v>
      </c>
      <c r="I21" s="260">
        <f>[1]September!V19+[2]September!V19+[3]September!V19</f>
        <v>200</v>
      </c>
      <c r="J21" s="87">
        <f t="shared" si="1"/>
        <v>200</v>
      </c>
      <c r="K21" s="266">
        <v>18</v>
      </c>
      <c r="L21" s="266">
        <v>7.0200000000000005</v>
      </c>
      <c r="M21" s="260">
        <v>100</v>
      </c>
      <c r="N21" s="87">
        <f t="shared" si="2"/>
        <v>125.02</v>
      </c>
      <c r="O21" s="266">
        <v>25.2</v>
      </c>
      <c r="P21" s="266">
        <f>((3.7+2)*1.3)*2</f>
        <v>14.82</v>
      </c>
      <c r="Q21" s="260">
        <f>[1]September!AC19+[2]September!AC19+[3]November!AC19</f>
        <v>900</v>
      </c>
      <c r="R21" s="87">
        <f t="shared" si="3"/>
        <v>940.02</v>
      </c>
      <c r="S21" s="259">
        <v>0</v>
      </c>
      <c r="T21" s="266">
        <v>2.6</v>
      </c>
      <c r="U21" s="260">
        <v>50</v>
      </c>
      <c r="V21" s="87">
        <f t="shared" si="4"/>
        <v>52.6</v>
      </c>
      <c r="W21" s="259">
        <v>0</v>
      </c>
      <c r="X21" s="266">
        <v>0</v>
      </c>
      <c r="Y21" s="260">
        <f>[1]September!AX19+[2]September!AX19+[3]September!AW19</f>
        <v>150</v>
      </c>
      <c r="Z21" s="87">
        <f t="shared" si="5"/>
        <v>150</v>
      </c>
      <c r="AA21" s="94">
        <f t="shared" si="12"/>
        <v>1612.6399999999999</v>
      </c>
      <c r="AB21" s="96" t="s">
        <v>53</v>
      </c>
      <c r="AC21" s="138"/>
      <c r="AD21" s="146">
        <v>14</v>
      </c>
      <c r="AE21" s="147" t="s">
        <v>17</v>
      </c>
      <c r="AF21" s="141">
        <f t="shared" si="16"/>
        <v>43.2</v>
      </c>
      <c r="AG21" s="141">
        <f t="shared" si="16"/>
        <v>24.44</v>
      </c>
      <c r="AH21" s="141">
        <f t="shared" si="17"/>
        <v>1545</v>
      </c>
      <c r="AI21" s="108"/>
      <c r="AJ21" s="148">
        <v>14</v>
      </c>
      <c r="AK21" s="149" t="s">
        <v>17</v>
      </c>
      <c r="AL21" s="144">
        <f t="shared" si="8"/>
        <v>43.2</v>
      </c>
      <c r="AM21" s="145">
        <f t="shared" si="9"/>
        <v>2.678837186228793E-2</v>
      </c>
      <c r="AN21" s="144">
        <f t="shared" si="13"/>
        <v>24.44</v>
      </c>
      <c r="AO21" s="145">
        <f t="shared" si="10"/>
        <v>1.5155273340609189E-2</v>
      </c>
      <c r="AP21" s="144">
        <f t="shared" si="14"/>
        <v>1545</v>
      </c>
      <c r="AQ21" s="145">
        <f t="shared" si="11"/>
        <v>0.95805635479710294</v>
      </c>
    </row>
    <row r="22" spans="1:43" x14ac:dyDescent="0.25">
      <c r="A22" s="156">
        <v>15</v>
      </c>
      <c r="B22" s="157" t="s">
        <v>18</v>
      </c>
      <c r="C22" s="266">
        <v>0</v>
      </c>
      <c r="D22" s="266">
        <v>0</v>
      </c>
      <c r="E22" s="260">
        <f>[1]September!O20+[2]September!O20+[3]September!O20</f>
        <v>0</v>
      </c>
      <c r="F22" s="87">
        <f t="shared" si="0"/>
        <v>0</v>
      </c>
      <c r="G22" s="266">
        <v>0</v>
      </c>
      <c r="H22" s="266">
        <v>0</v>
      </c>
      <c r="I22" s="260">
        <f>[1]September!V20+[2]September!V20+[3]September!V20</f>
        <v>0</v>
      </c>
      <c r="J22" s="87">
        <f t="shared" si="1"/>
        <v>0</v>
      </c>
      <c r="K22" s="266">
        <v>12.4</v>
      </c>
      <c r="L22" s="266">
        <v>3.6399999999999997</v>
      </c>
      <c r="M22" s="260"/>
      <c r="N22" s="87">
        <f t="shared" si="2"/>
        <v>16.04</v>
      </c>
      <c r="O22" s="266">
        <v>0</v>
      </c>
      <c r="P22" s="266">
        <v>0</v>
      </c>
      <c r="Q22" s="260">
        <f>[1]September!AC20+[2]September!AC20+[3]November!AC20</f>
        <v>800</v>
      </c>
      <c r="R22" s="87">
        <f t="shared" si="3"/>
        <v>800</v>
      </c>
      <c r="S22" s="259">
        <v>0</v>
      </c>
      <c r="T22" s="266">
        <v>0</v>
      </c>
      <c r="U22" s="260"/>
      <c r="V22" s="87">
        <f t="shared" si="4"/>
        <v>0</v>
      </c>
      <c r="W22" s="259">
        <v>0</v>
      </c>
      <c r="X22" s="266">
        <v>0</v>
      </c>
      <c r="Y22" s="260">
        <f>[1]September!AX20+[2]September!AX20+[3]September!AW20</f>
        <v>0</v>
      </c>
      <c r="Z22" s="87">
        <f t="shared" si="5"/>
        <v>0</v>
      </c>
      <c r="AA22" s="94">
        <f t="shared" si="12"/>
        <v>816.04</v>
      </c>
      <c r="AB22" s="96" t="s">
        <v>53</v>
      </c>
      <c r="AC22" s="138"/>
      <c r="AD22" s="146">
        <v>15</v>
      </c>
      <c r="AE22" s="147" t="s">
        <v>18</v>
      </c>
      <c r="AF22" s="141">
        <f t="shared" si="16"/>
        <v>12.4</v>
      </c>
      <c r="AG22" s="141">
        <f t="shared" si="16"/>
        <v>3.6399999999999997</v>
      </c>
      <c r="AH22" s="141">
        <f t="shared" si="17"/>
        <v>800</v>
      </c>
      <c r="AI22" s="108"/>
      <c r="AJ22" s="148">
        <v>15</v>
      </c>
      <c r="AK22" s="149" t="s">
        <v>18</v>
      </c>
      <c r="AL22" s="144">
        <f t="shared" si="8"/>
        <v>12.4</v>
      </c>
      <c r="AM22" s="145">
        <f t="shared" si="9"/>
        <v>1.5195333562080292E-2</v>
      </c>
      <c r="AN22" s="144">
        <f t="shared" si="13"/>
        <v>3.6399999999999997</v>
      </c>
      <c r="AO22" s="145">
        <f t="shared" si="10"/>
        <v>4.4605656585461496E-3</v>
      </c>
      <c r="AP22" s="144">
        <f t="shared" si="14"/>
        <v>800</v>
      </c>
      <c r="AQ22" s="145">
        <f t="shared" si="11"/>
        <v>0.98034410077937362</v>
      </c>
    </row>
    <row r="23" spans="1:43" x14ac:dyDescent="0.25">
      <c r="A23" s="156">
        <v>16</v>
      </c>
      <c r="B23" s="157" t="s">
        <v>19</v>
      </c>
      <c r="C23" s="266">
        <v>0</v>
      </c>
      <c r="D23" s="266">
        <v>0</v>
      </c>
      <c r="E23" s="260">
        <f>[1]September!O21+[2]September!O21+[3]September!O21</f>
        <v>0</v>
      </c>
      <c r="F23" s="87">
        <f t="shared" si="0"/>
        <v>0</v>
      </c>
      <c r="G23" s="266">
        <v>0</v>
      </c>
      <c r="H23" s="266">
        <v>0</v>
      </c>
      <c r="I23" s="260">
        <f>[1]September!V21+[2]September!V21+[3]September!V21</f>
        <v>0</v>
      </c>
      <c r="J23" s="87">
        <f t="shared" si="1"/>
        <v>0</v>
      </c>
      <c r="K23" s="266">
        <v>20.399999999999999</v>
      </c>
      <c r="L23" s="266">
        <v>1.8199999999999998</v>
      </c>
      <c r="M23" s="260"/>
      <c r="N23" s="87">
        <f t="shared" si="2"/>
        <v>22.22</v>
      </c>
      <c r="O23" s="266">
        <v>0</v>
      </c>
      <c r="P23" s="266">
        <v>0</v>
      </c>
      <c r="Q23" s="260">
        <f>[1]September!AC21+[2]September!AC21+[3]November!AC21</f>
        <v>500</v>
      </c>
      <c r="R23" s="87">
        <f t="shared" si="3"/>
        <v>500</v>
      </c>
      <c r="S23" s="259">
        <v>0</v>
      </c>
      <c r="T23" s="266">
        <v>0</v>
      </c>
      <c r="U23" s="260"/>
      <c r="V23" s="87">
        <f t="shared" si="4"/>
        <v>0</v>
      </c>
      <c r="W23" s="259">
        <v>0</v>
      </c>
      <c r="X23" s="266">
        <v>0</v>
      </c>
      <c r="Y23" s="260">
        <f>[1]September!AX21+[2]September!AX21+[3]September!AW21</f>
        <v>0</v>
      </c>
      <c r="Z23" s="87">
        <f t="shared" si="5"/>
        <v>0</v>
      </c>
      <c r="AA23" s="94">
        <f t="shared" si="12"/>
        <v>522.22</v>
      </c>
      <c r="AB23" s="96" t="s">
        <v>53</v>
      </c>
      <c r="AC23" s="138"/>
      <c r="AD23" s="146">
        <v>16</v>
      </c>
      <c r="AE23" s="147" t="s">
        <v>19</v>
      </c>
      <c r="AF23" s="141">
        <f t="shared" si="16"/>
        <v>20.399999999999999</v>
      </c>
      <c r="AG23" s="141">
        <f t="shared" si="16"/>
        <v>1.8199999999999998</v>
      </c>
      <c r="AH23" s="141">
        <f t="shared" si="17"/>
        <v>500</v>
      </c>
      <c r="AI23" s="108"/>
      <c r="AJ23" s="148">
        <v>16</v>
      </c>
      <c r="AK23" s="149" t="s">
        <v>19</v>
      </c>
      <c r="AL23" s="144">
        <f t="shared" si="8"/>
        <v>20.399999999999999</v>
      </c>
      <c r="AM23" s="145">
        <f t="shared" si="9"/>
        <v>3.9063996017004325E-2</v>
      </c>
      <c r="AN23" s="144">
        <f t="shared" si="13"/>
        <v>1.8199999999999998</v>
      </c>
      <c r="AO23" s="145">
        <f t="shared" si="10"/>
        <v>3.485121213281758E-3</v>
      </c>
      <c r="AP23" s="144">
        <f t="shared" si="14"/>
        <v>500</v>
      </c>
      <c r="AQ23" s="145">
        <f t="shared" si="11"/>
        <v>0.95745088276971391</v>
      </c>
    </row>
    <row r="24" spans="1:43" x14ac:dyDescent="0.25">
      <c r="A24" s="156">
        <v>17</v>
      </c>
      <c r="B24" s="157" t="s">
        <v>20</v>
      </c>
      <c r="C24" s="266">
        <v>22.4</v>
      </c>
      <c r="D24" s="266">
        <f>((1.8+1)*1.3)*2</f>
        <v>7.2799999999999994</v>
      </c>
      <c r="E24" s="260">
        <f>[1]September!O22+[2]September!O22+[3]September!O22</f>
        <v>145</v>
      </c>
      <c r="F24" s="87">
        <f t="shared" si="0"/>
        <v>174.68</v>
      </c>
      <c r="G24" s="266">
        <v>18</v>
      </c>
      <c r="H24" s="266">
        <f>((5.1+1)*1.3)*2</f>
        <v>15.86</v>
      </c>
      <c r="I24" s="260">
        <f>[1]September!V22+[2]September!V22+[3]September!V22</f>
        <v>500</v>
      </c>
      <c r="J24" s="87">
        <f t="shared" si="1"/>
        <v>533.86</v>
      </c>
      <c r="K24" s="266">
        <v>15.6</v>
      </c>
      <c r="L24" s="266">
        <v>8.32</v>
      </c>
      <c r="M24" s="260">
        <v>100</v>
      </c>
      <c r="N24" s="87">
        <f t="shared" si="2"/>
        <v>123.92</v>
      </c>
      <c r="O24" s="266">
        <v>0</v>
      </c>
      <c r="P24" s="266">
        <v>2.6</v>
      </c>
      <c r="Q24" s="260">
        <f>[1]September!AC22+[2]September!AC22+[3]November!AC22</f>
        <v>100</v>
      </c>
      <c r="R24" s="87">
        <f t="shared" si="3"/>
        <v>102.6</v>
      </c>
      <c r="S24" s="259">
        <v>0</v>
      </c>
      <c r="T24" s="266">
        <v>5.2</v>
      </c>
      <c r="U24" s="260">
        <v>45</v>
      </c>
      <c r="V24" s="87">
        <f t="shared" si="4"/>
        <v>50.2</v>
      </c>
      <c r="W24" s="259">
        <v>0</v>
      </c>
      <c r="X24" s="266">
        <v>52</v>
      </c>
      <c r="Y24" s="260">
        <f>[1]September!AX22+[2]September!AX22+[3]September!AW22</f>
        <v>101</v>
      </c>
      <c r="Z24" s="87">
        <f t="shared" si="5"/>
        <v>153</v>
      </c>
      <c r="AA24" s="94">
        <f t="shared" si="12"/>
        <v>1138.26</v>
      </c>
      <c r="AB24" s="96" t="s">
        <v>53</v>
      </c>
      <c r="AC24" s="138"/>
      <c r="AD24" s="146">
        <v>17</v>
      </c>
      <c r="AE24" s="147" t="s">
        <v>20</v>
      </c>
      <c r="AF24" s="141">
        <f t="shared" si="16"/>
        <v>56</v>
      </c>
      <c r="AG24" s="141">
        <f t="shared" si="16"/>
        <v>91.26</v>
      </c>
      <c r="AH24" s="141">
        <f t="shared" si="17"/>
        <v>991</v>
      </c>
      <c r="AI24" s="108"/>
      <c r="AJ24" s="148">
        <v>17</v>
      </c>
      <c r="AK24" s="149" t="s">
        <v>20</v>
      </c>
      <c r="AL24" s="144">
        <f t="shared" si="8"/>
        <v>56</v>
      </c>
      <c r="AM24" s="145">
        <f t="shared" si="9"/>
        <v>4.9197898546904928E-2</v>
      </c>
      <c r="AN24" s="144">
        <f t="shared" si="13"/>
        <v>91.26</v>
      </c>
      <c r="AO24" s="145">
        <f t="shared" si="10"/>
        <v>8.0175003953402574E-2</v>
      </c>
      <c r="AP24" s="144">
        <f t="shared" si="14"/>
        <v>991</v>
      </c>
      <c r="AQ24" s="145">
        <f t="shared" si="11"/>
        <v>0.87062709749969247</v>
      </c>
    </row>
    <row r="25" spans="1:43" x14ac:dyDescent="0.25">
      <c r="A25" s="156">
        <v>18</v>
      </c>
      <c r="B25" s="157" t="s">
        <v>21</v>
      </c>
      <c r="C25" s="266">
        <v>12.4</v>
      </c>
      <c r="D25" s="266">
        <v>7.8000000000000007</v>
      </c>
      <c r="E25" s="260">
        <f>[1]September!O23+[2]September!O23+[3]September!O23</f>
        <v>280</v>
      </c>
      <c r="F25" s="87">
        <f t="shared" si="0"/>
        <v>300.2</v>
      </c>
      <c r="G25" s="266">
        <v>12.8</v>
      </c>
      <c r="H25" s="266">
        <f>((1.8+1)*1.3)*2</f>
        <v>7.2799999999999994</v>
      </c>
      <c r="I25" s="260">
        <f>[1]September!V23+[2]September!V23+[3]September!V23</f>
        <v>350</v>
      </c>
      <c r="J25" s="87">
        <f t="shared" si="1"/>
        <v>370.08</v>
      </c>
      <c r="K25" s="266">
        <v>16.8</v>
      </c>
      <c r="L25" s="266">
        <v>9.3600000000000012</v>
      </c>
      <c r="M25" s="260">
        <v>200</v>
      </c>
      <c r="N25" s="87">
        <f t="shared" si="2"/>
        <v>226.16</v>
      </c>
      <c r="O25" s="266">
        <v>30</v>
      </c>
      <c r="P25" s="266">
        <v>15.08</v>
      </c>
      <c r="Q25" s="260">
        <f>[1]September!AC23+[2]September!AC23+[3]November!AC23</f>
        <v>850</v>
      </c>
      <c r="R25" s="87">
        <f t="shared" si="3"/>
        <v>895.08</v>
      </c>
      <c r="S25" s="259">
        <v>0</v>
      </c>
      <c r="T25" s="266">
        <v>2.6</v>
      </c>
      <c r="U25" s="260">
        <f>100+30</f>
        <v>130</v>
      </c>
      <c r="V25" s="87">
        <f t="shared" si="4"/>
        <v>132.6</v>
      </c>
      <c r="W25" s="259">
        <v>0</v>
      </c>
      <c r="X25" s="266">
        <v>52</v>
      </c>
      <c r="Y25" s="260">
        <f>[1]September!AX23+[2]September!AX23+[3]September!AW23</f>
        <v>350</v>
      </c>
      <c r="Z25" s="87">
        <f t="shared" si="5"/>
        <v>402</v>
      </c>
      <c r="AA25" s="94">
        <f t="shared" si="12"/>
        <v>2326.12</v>
      </c>
      <c r="AB25" s="96" t="s">
        <v>53</v>
      </c>
      <c r="AC25" s="138"/>
      <c r="AD25" s="146">
        <v>18</v>
      </c>
      <c r="AE25" s="147" t="s">
        <v>21</v>
      </c>
      <c r="AF25" s="141">
        <f t="shared" si="16"/>
        <v>72</v>
      </c>
      <c r="AG25" s="141">
        <f t="shared" si="16"/>
        <v>94.12</v>
      </c>
      <c r="AH25" s="141">
        <f t="shared" si="17"/>
        <v>2160</v>
      </c>
      <c r="AI25" s="108"/>
      <c r="AJ25" s="148">
        <v>18</v>
      </c>
      <c r="AK25" s="149" t="s">
        <v>21</v>
      </c>
      <c r="AL25" s="144">
        <f t="shared" si="8"/>
        <v>72</v>
      </c>
      <c r="AM25" s="145">
        <f t="shared" si="9"/>
        <v>3.0952831324265302E-2</v>
      </c>
      <c r="AN25" s="144">
        <f t="shared" si="13"/>
        <v>94.12</v>
      </c>
      <c r="AO25" s="145">
        <f t="shared" si="10"/>
        <v>4.0462228947775701E-2</v>
      </c>
      <c r="AP25" s="144">
        <f t="shared" si="14"/>
        <v>2160</v>
      </c>
      <c r="AQ25" s="145">
        <f t="shared" si="11"/>
        <v>0.92858493972795908</v>
      </c>
    </row>
    <row r="26" spans="1:43" x14ac:dyDescent="0.25">
      <c r="A26" s="156">
        <v>19</v>
      </c>
      <c r="B26" s="157" t="s">
        <v>22</v>
      </c>
      <c r="C26" s="266">
        <v>10.4</v>
      </c>
      <c r="D26" s="266">
        <v>5.2</v>
      </c>
      <c r="E26" s="260">
        <f>[1]September!O24+[2]September!O24+[3]September!O24</f>
        <v>170</v>
      </c>
      <c r="F26" s="87">
        <f t="shared" si="0"/>
        <v>185.6</v>
      </c>
      <c r="G26" s="266">
        <v>16.399999999999999</v>
      </c>
      <c r="H26" s="266">
        <f>((1+1)*1.3)*2</f>
        <v>5.2</v>
      </c>
      <c r="I26" s="260">
        <f>[1]September!V24+[2]September!V24+[3]September!V24</f>
        <v>360</v>
      </c>
      <c r="J26" s="87">
        <f t="shared" si="1"/>
        <v>381.6</v>
      </c>
      <c r="K26" s="266">
        <v>17.2</v>
      </c>
      <c r="L26" s="266">
        <v>4.6800000000000006</v>
      </c>
      <c r="M26" s="260">
        <v>100</v>
      </c>
      <c r="N26" s="87">
        <f t="shared" si="2"/>
        <v>121.88</v>
      </c>
      <c r="O26" s="266">
        <v>18.8</v>
      </c>
      <c r="P26" s="266">
        <f>((1.5+1)*1.3)*2</f>
        <v>6.5</v>
      </c>
      <c r="Q26" s="260">
        <f>[1]September!AC24+[2]September!AC24+[3]November!AC24</f>
        <v>550</v>
      </c>
      <c r="R26" s="87">
        <f t="shared" si="3"/>
        <v>575.29999999999995</v>
      </c>
      <c r="S26" s="259">
        <v>0</v>
      </c>
      <c r="T26" s="266">
        <v>7.8000000000000007</v>
      </c>
      <c r="U26" s="260">
        <f>150+10</f>
        <v>160</v>
      </c>
      <c r="V26" s="87">
        <f t="shared" si="4"/>
        <v>167.8</v>
      </c>
      <c r="W26" s="259">
        <v>0</v>
      </c>
      <c r="X26" s="266">
        <v>52</v>
      </c>
      <c r="Y26" s="260">
        <f>[1]September!AX24+[2]September!AX24+[3]September!AW24</f>
        <v>160</v>
      </c>
      <c r="Z26" s="87">
        <f t="shared" si="5"/>
        <v>212</v>
      </c>
      <c r="AA26" s="94">
        <f t="shared" si="12"/>
        <v>1644.18</v>
      </c>
      <c r="AB26" s="96" t="s">
        <v>53</v>
      </c>
      <c r="AC26" s="138"/>
      <c r="AD26" s="146">
        <v>19</v>
      </c>
      <c r="AE26" s="147" t="s">
        <v>22</v>
      </c>
      <c r="AF26" s="141">
        <f t="shared" si="16"/>
        <v>62.8</v>
      </c>
      <c r="AG26" s="141">
        <f t="shared" si="16"/>
        <v>81.38</v>
      </c>
      <c r="AH26" s="141">
        <f t="shared" si="17"/>
        <v>1500</v>
      </c>
      <c r="AI26" s="108"/>
      <c r="AJ26" s="148">
        <v>19</v>
      </c>
      <c r="AK26" s="149" t="s">
        <v>22</v>
      </c>
      <c r="AL26" s="144">
        <f t="shared" si="8"/>
        <v>62.8</v>
      </c>
      <c r="AM26" s="145">
        <f t="shared" si="9"/>
        <v>3.819533141140264E-2</v>
      </c>
      <c r="AN26" s="144">
        <f t="shared" si="13"/>
        <v>81.38</v>
      </c>
      <c r="AO26" s="145">
        <f t="shared" si="10"/>
        <v>4.949579729713291E-2</v>
      </c>
      <c r="AP26" s="144">
        <f t="shared" si="14"/>
        <v>1500</v>
      </c>
      <c r="AQ26" s="145">
        <f t="shared" si="11"/>
        <v>0.91230887129146443</v>
      </c>
    </row>
    <row r="27" spans="1:43" x14ac:dyDescent="0.25">
      <c r="A27" s="156">
        <v>20</v>
      </c>
      <c r="B27" s="157" t="s">
        <v>23</v>
      </c>
      <c r="C27" s="266">
        <v>17.2</v>
      </c>
      <c r="D27" s="266">
        <v>3.3800000000000003</v>
      </c>
      <c r="E27" s="260">
        <f>[1]September!O25+[2]September!O25+[3]September!O25</f>
        <v>220</v>
      </c>
      <c r="F27" s="87">
        <f t="shared" si="0"/>
        <v>240.57999999999998</v>
      </c>
      <c r="G27" s="266">
        <v>13.2</v>
      </c>
      <c r="H27" s="266">
        <v>5.2</v>
      </c>
      <c r="I27" s="260">
        <f>[1]September!V25+[2]September!V25+[3]September!V25</f>
        <v>300</v>
      </c>
      <c r="J27" s="87">
        <f t="shared" si="1"/>
        <v>318.39999999999998</v>
      </c>
      <c r="K27" s="266">
        <v>16.8</v>
      </c>
      <c r="L27" s="266">
        <v>6.24</v>
      </c>
      <c r="M27" s="260">
        <v>50</v>
      </c>
      <c r="N27" s="87">
        <f t="shared" si="2"/>
        <v>73.039999999999992</v>
      </c>
      <c r="O27" s="266">
        <v>21.2</v>
      </c>
      <c r="P27" s="266">
        <f>((4.2+1)*1.3)*2</f>
        <v>13.520000000000001</v>
      </c>
      <c r="Q27" s="260">
        <f>[1]September!AC25+[2]September!AC25+[3]November!AC25</f>
        <v>1060</v>
      </c>
      <c r="R27" s="87">
        <f t="shared" si="3"/>
        <v>1094.72</v>
      </c>
      <c r="S27" s="259">
        <v>0</v>
      </c>
      <c r="T27" s="266">
        <v>2.6</v>
      </c>
      <c r="U27" s="260">
        <f>50+20</f>
        <v>70</v>
      </c>
      <c r="V27" s="87">
        <f t="shared" si="4"/>
        <v>72.599999999999994</v>
      </c>
      <c r="W27" s="259">
        <v>0</v>
      </c>
      <c r="X27" s="266">
        <v>52</v>
      </c>
      <c r="Y27" s="260">
        <f>[1]September!AX25+[2]September!AX25+[3]September!AW25</f>
        <v>165</v>
      </c>
      <c r="Z27" s="87">
        <f t="shared" si="5"/>
        <v>217</v>
      </c>
      <c r="AA27" s="94">
        <f t="shared" si="12"/>
        <v>2016.34</v>
      </c>
      <c r="AB27" s="96" t="s">
        <v>53</v>
      </c>
      <c r="AC27" s="138"/>
      <c r="AD27" s="146">
        <v>20</v>
      </c>
      <c r="AE27" s="147" t="s">
        <v>23</v>
      </c>
      <c r="AF27" s="141">
        <f t="shared" si="16"/>
        <v>68.400000000000006</v>
      </c>
      <c r="AG27" s="141">
        <f t="shared" si="16"/>
        <v>82.94</v>
      </c>
      <c r="AH27" s="141">
        <f t="shared" si="17"/>
        <v>1865</v>
      </c>
      <c r="AI27" s="108"/>
      <c r="AJ27" s="148">
        <v>20</v>
      </c>
      <c r="AK27" s="149" t="s">
        <v>23</v>
      </c>
      <c r="AL27" s="144">
        <f t="shared" si="8"/>
        <v>68.400000000000006</v>
      </c>
      <c r="AM27" s="145">
        <f t="shared" si="9"/>
        <v>3.3922850312943259E-2</v>
      </c>
      <c r="AN27" s="144">
        <f t="shared" si="13"/>
        <v>82.94</v>
      </c>
      <c r="AO27" s="145">
        <f t="shared" si="10"/>
        <v>4.113393574496365E-2</v>
      </c>
      <c r="AP27" s="144">
        <f t="shared" si="14"/>
        <v>1865</v>
      </c>
      <c r="AQ27" s="145">
        <f t="shared" si="11"/>
        <v>0.92494321394209311</v>
      </c>
    </row>
    <row r="28" spans="1:43" x14ac:dyDescent="0.25">
      <c r="A28" s="156">
        <v>21</v>
      </c>
      <c r="B28" s="157" t="s">
        <v>24</v>
      </c>
      <c r="C28" s="266">
        <v>0</v>
      </c>
      <c r="D28" s="266">
        <v>0</v>
      </c>
      <c r="E28" s="260">
        <f>[1]September!O26+[2]September!O26+[3]September!O26</f>
        <v>50</v>
      </c>
      <c r="F28" s="87">
        <f t="shared" si="0"/>
        <v>50</v>
      </c>
      <c r="G28" s="266">
        <v>0</v>
      </c>
      <c r="H28" s="266">
        <v>0</v>
      </c>
      <c r="I28" s="260">
        <f>[1]September!V26+[2]September!V26+[3]September!V26</f>
        <v>150</v>
      </c>
      <c r="J28" s="87">
        <f t="shared" si="1"/>
        <v>150</v>
      </c>
      <c r="K28" s="266">
        <v>20.8</v>
      </c>
      <c r="L28" s="266">
        <v>4.6800000000000006</v>
      </c>
      <c r="M28" s="260"/>
      <c r="N28" s="87">
        <f t="shared" si="2"/>
        <v>25.48</v>
      </c>
      <c r="O28" s="266">
        <v>0</v>
      </c>
      <c r="P28" s="266">
        <v>2.6</v>
      </c>
      <c r="Q28" s="260">
        <f>[1]September!AC26+[2]September!AC26+[3]November!AC26</f>
        <v>800</v>
      </c>
      <c r="R28" s="87">
        <f t="shared" si="3"/>
        <v>802.6</v>
      </c>
      <c r="S28" s="259">
        <v>0</v>
      </c>
      <c r="T28" s="266">
        <v>2.6</v>
      </c>
      <c r="U28" s="260">
        <v>50</v>
      </c>
      <c r="V28" s="87">
        <f t="shared" si="4"/>
        <v>52.6</v>
      </c>
      <c r="W28" s="259">
        <v>0</v>
      </c>
      <c r="X28" s="266">
        <v>0</v>
      </c>
      <c r="Y28" s="260">
        <f>[1]September!AX26+[2]September!AX26+[3]September!AW26</f>
        <v>110</v>
      </c>
      <c r="Z28" s="87">
        <f t="shared" si="5"/>
        <v>110</v>
      </c>
      <c r="AA28" s="94">
        <f t="shared" si="12"/>
        <v>1190.6799999999998</v>
      </c>
      <c r="AB28" s="96" t="s">
        <v>53</v>
      </c>
      <c r="AC28" s="138"/>
      <c r="AD28" s="146">
        <v>21</v>
      </c>
      <c r="AE28" s="147" t="s">
        <v>24</v>
      </c>
      <c r="AF28" s="141">
        <f t="shared" si="16"/>
        <v>20.8</v>
      </c>
      <c r="AG28" s="141">
        <f t="shared" si="16"/>
        <v>9.8800000000000008</v>
      </c>
      <c r="AH28" s="141">
        <f t="shared" si="17"/>
        <v>1160</v>
      </c>
      <c r="AI28" s="108"/>
      <c r="AJ28" s="148">
        <v>21</v>
      </c>
      <c r="AK28" s="149" t="s">
        <v>24</v>
      </c>
      <c r="AL28" s="144">
        <f t="shared" si="8"/>
        <v>20.8</v>
      </c>
      <c r="AM28" s="145">
        <f t="shared" si="9"/>
        <v>1.7469009305606884E-2</v>
      </c>
      <c r="AN28" s="144">
        <f t="shared" si="13"/>
        <v>9.8800000000000008</v>
      </c>
      <c r="AO28" s="145">
        <f t="shared" si="10"/>
        <v>8.2977794201632704E-3</v>
      </c>
      <c r="AP28" s="144">
        <f t="shared" si="14"/>
        <v>1160</v>
      </c>
      <c r="AQ28" s="145">
        <f t="shared" si="11"/>
        <v>0.97423321127423002</v>
      </c>
    </row>
    <row r="29" spans="1:43" x14ac:dyDescent="0.25">
      <c r="A29" s="156">
        <v>22</v>
      </c>
      <c r="B29" s="157" t="s">
        <v>25</v>
      </c>
      <c r="C29" s="266">
        <v>0</v>
      </c>
      <c r="D29" s="266">
        <v>0</v>
      </c>
      <c r="E29" s="260">
        <f>[1]September!O27+[2]September!O27+[3]September!O27</f>
        <v>0</v>
      </c>
      <c r="F29" s="87">
        <f t="shared" si="0"/>
        <v>0</v>
      </c>
      <c r="G29" s="266">
        <v>0</v>
      </c>
      <c r="H29" s="266">
        <v>0</v>
      </c>
      <c r="I29" s="260">
        <f>[1]September!V27+[2]September!V27+[3]September!V27</f>
        <v>0</v>
      </c>
      <c r="J29" s="87">
        <f t="shared" si="1"/>
        <v>0</v>
      </c>
      <c r="K29" s="266">
        <v>15.6</v>
      </c>
      <c r="L29" s="266">
        <v>6.5</v>
      </c>
      <c r="M29" s="260"/>
      <c r="N29" s="87">
        <f t="shared" si="2"/>
        <v>22.1</v>
      </c>
      <c r="O29" s="266">
        <v>0</v>
      </c>
      <c r="P29" s="266">
        <v>0</v>
      </c>
      <c r="Q29" s="260">
        <f>[1]September!AC27+[2]September!AC27+[3]November!AC27</f>
        <v>750</v>
      </c>
      <c r="R29" s="87">
        <f t="shared" si="3"/>
        <v>750</v>
      </c>
      <c r="S29" s="259">
        <v>0</v>
      </c>
      <c r="T29" s="266">
        <v>2.6</v>
      </c>
      <c r="U29" s="260"/>
      <c r="V29" s="87">
        <f t="shared" si="4"/>
        <v>2.6</v>
      </c>
      <c r="W29" s="259">
        <v>0</v>
      </c>
      <c r="X29" s="266">
        <v>0</v>
      </c>
      <c r="Y29" s="260">
        <f>[1]September!AX27+[2]September!AX27+[3]September!AW27</f>
        <v>0</v>
      </c>
      <c r="Z29" s="87">
        <f t="shared" si="5"/>
        <v>0</v>
      </c>
      <c r="AA29" s="94">
        <f t="shared" si="12"/>
        <v>774.7</v>
      </c>
      <c r="AB29" s="96" t="s">
        <v>53</v>
      </c>
      <c r="AC29" s="138"/>
      <c r="AD29" s="146">
        <v>22</v>
      </c>
      <c r="AE29" s="147" t="s">
        <v>25</v>
      </c>
      <c r="AF29" s="141">
        <f t="shared" si="16"/>
        <v>15.6</v>
      </c>
      <c r="AG29" s="141">
        <f t="shared" si="16"/>
        <v>9.1</v>
      </c>
      <c r="AH29" s="141">
        <f t="shared" si="17"/>
        <v>750</v>
      </c>
      <c r="AI29" s="108"/>
      <c r="AJ29" s="148">
        <v>22</v>
      </c>
      <c r="AK29" s="149" t="s">
        <v>25</v>
      </c>
      <c r="AL29" s="144">
        <f t="shared" si="8"/>
        <v>15.6</v>
      </c>
      <c r="AM29" s="145">
        <f t="shared" si="9"/>
        <v>2.0136827158900219E-2</v>
      </c>
      <c r="AN29" s="144">
        <f t="shared" si="13"/>
        <v>9.1</v>
      </c>
      <c r="AO29" s="145">
        <f t="shared" si="10"/>
        <v>1.1746482509358461E-2</v>
      </c>
      <c r="AP29" s="144">
        <f t="shared" si="14"/>
        <v>750</v>
      </c>
      <c r="AQ29" s="145">
        <f t="shared" si="11"/>
        <v>0.9681166903317413</v>
      </c>
    </row>
    <row r="30" spans="1:43" x14ac:dyDescent="0.25">
      <c r="A30" s="156">
        <v>23</v>
      </c>
      <c r="B30" s="157" t="s">
        <v>26</v>
      </c>
      <c r="C30" s="266">
        <v>19.600000000000001</v>
      </c>
      <c r="D30" s="266">
        <f>((1.4+1)*1.3)*2</f>
        <v>6.24</v>
      </c>
      <c r="E30" s="260">
        <f>[1]September!O28+[2]September!O28+[3]September!O28</f>
        <v>175</v>
      </c>
      <c r="F30" s="87">
        <f t="shared" si="0"/>
        <v>200.84</v>
      </c>
      <c r="G30" s="266">
        <v>18.8</v>
      </c>
      <c r="H30" s="266">
        <f>((2.2+1)*1.3)*2</f>
        <v>8.32</v>
      </c>
      <c r="I30" s="260">
        <f>[1]September!V28+[2]September!V28+[3]September!V28</f>
        <v>350</v>
      </c>
      <c r="J30" s="87">
        <f t="shared" si="1"/>
        <v>377.12</v>
      </c>
      <c r="K30" s="266">
        <v>18</v>
      </c>
      <c r="L30" s="266">
        <v>9.879999999999999</v>
      </c>
      <c r="M30" s="260">
        <v>100</v>
      </c>
      <c r="N30" s="87">
        <f t="shared" si="2"/>
        <v>127.88</v>
      </c>
      <c r="O30" s="266">
        <v>25.6</v>
      </c>
      <c r="P30" s="266">
        <f>((4.6+2)*1.3)*2</f>
        <v>17.16</v>
      </c>
      <c r="Q30" s="260">
        <f>[1]September!AC28+[2]September!AC28+[3]November!AC28</f>
        <v>200</v>
      </c>
      <c r="R30" s="87">
        <f t="shared" si="3"/>
        <v>242.76</v>
      </c>
      <c r="S30" s="259">
        <v>0</v>
      </c>
      <c r="T30" s="266">
        <v>5.2</v>
      </c>
      <c r="U30" s="260">
        <f>100+30</f>
        <v>130</v>
      </c>
      <c r="V30" s="87">
        <f t="shared" si="4"/>
        <v>135.19999999999999</v>
      </c>
      <c r="W30" s="259">
        <v>0</v>
      </c>
      <c r="X30" s="266">
        <v>52</v>
      </c>
      <c r="Y30" s="260">
        <f>[1]September!AX28+[2]September!AX28+[3]September!AW28</f>
        <v>220</v>
      </c>
      <c r="Z30" s="87">
        <f t="shared" si="5"/>
        <v>272</v>
      </c>
      <c r="AA30" s="94">
        <f t="shared" si="12"/>
        <v>1355.8</v>
      </c>
      <c r="AB30" s="96" t="s">
        <v>53</v>
      </c>
      <c r="AC30" s="138"/>
      <c r="AD30" s="146">
        <v>23</v>
      </c>
      <c r="AE30" s="147" t="s">
        <v>26</v>
      </c>
      <c r="AF30" s="141">
        <f t="shared" si="16"/>
        <v>82</v>
      </c>
      <c r="AG30" s="141">
        <f t="shared" si="16"/>
        <v>98.8</v>
      </c>
      <c r="AH30" s="141">
        <f t="shared" si="17"/>
        <v>1175</v>
      </c>
      <c r="AI30" s="108"/>
      <c r="AJ30" s="148">
        <v>23</v>
      </c>
      <c r="AK30" s="149" t="s">
        <v>26</v>
      </c>
      <c r="AL30" s="144">
        <f t="shared" si="8"/>
        <v>82</v>
      </c>
      <c r="AM30" s="145">
        <f t="shared" si="9"/>
        <v>6.0480896887446525E-2</v>
      </c>
      <c r="AN30" s="144">
        <f t="shared" si="13"/>
        <v>98.8</v>
      </c>
      <c r="AO30" s="145">
        <f t="shared" si="10"/>
        <v>7.2872105030240455E-2</v>
      </c>
      <c r="AP30" s="144">
        <f t="shared" si="14"/>
        <v>1175</v>
      </c>
      <c r="AQ30" s="145">
        <f t="shared" si="11"/>
        <v>0.86664699808231305</v>
      </c>
    </row>
    <row r="31" spans="1:43" x14ac:dyDescent="0.25">
      <c r="A31" s="156">
        <v>24</v>
      </c>
      <c r="B31" s="157" t="s">
        <v>27</v>
      </c>
      <c r="C31" s="266">
        <v>11.2</v>
      </c>
      <c r="D31" s="266">
        <v>0</v>
      </c>
      <c r="E31" s="260">
        <f>[1]September!O29+[2]September!O29+[3]September!O29</f>
        <v>190</v>
      </c>
      <c r="F31" s="87">
        <f t="shared" si="0"/>
        <v>201.2</v>
      </c>
      <c r="G31" s="266">
        <v>20.8</v>
      </c>
      <c r="H31" s="266">
        <v>3.12</v>
      </c>
      <c r="I31" s="260">
        <f>[1]September!V29+[2]September!V29+[3]September!V29</f>
        <v>300</v>
      </c>
      <c r="J31" s="87">
        <f t="shared" si="1"/>
        <v>323.92</v>
      </c>
      <c r="K31" s="266">
        <v>20.399999999999999</v>
      </c>
      <c r="L31" s="266">
        <v>7.54</v>
      </c>
      <c r="M31" s="260">
        <v>100</v>
      </c>
      <c r="N31" s="87">
        <f t="shared" si="2"/>
        <v>127.94</v>
      </c>
      <c r="O31" s="266">
        <v>23.6</v>
      </c>
      <c r="P31" s="266">
        <f>((0.9+1)*1.3)*2</f>
        <v>4.9399999999999995</v>
      </c>
      <c r="Q31" s="260">
        <f>[1]September!AC29+[2]September!AC29+[3]November!AC29</f>
        <v>150</v>
      </c>
      <c r="R31" s="87">
        <f t="shared" si="3"/>
        <v>178.54</v>
      </c>
      <c r="S31" s="259">
        <v>0</v>
      </c>
      <c r="T31" s="266">
        <v>2.6</v>
      </c>
      <c r="U31" s="260">
        <f>30+40</f>
        <v>70</v>
      </c>
      <c r="V31" s="87">
        <f t="shared" si="4"/>
        <v>72.599999999999994</v>
      </c>
      <c r="W31" s="259">
        <v>0</v>
      </c>
      <c r="X31" s="266">
        <v>52</v>
      </c>
      <c r="Y31" s="260">
        <f>[1]September!AX29+[2]September!AX29+[3]September!AW29</f>
        <v>170</v>
      </c>
      <c r="Z31" s="87">
        <f t="shared" si="5"/>
        <v>222</v>
      </c>
      <c r="AA31" s="94">
        <f t="shared" si="12"/>
        <v>1126.1999999999998</v>
      </c>
      <c r="AB31" s="96" t="s">
        <v>53</v>
      </c>
      <c r="AC31" s="138"/>
      <c r="AD31" s="146">
        <v>24</v>
      </c>
      <c r="AE31" s="147" t="s">
        <v>27</v>
      </c>
      <c r="AF31" s="141">
        <f t="shared" si="16"/>
        <v>76</v>
      </c>
      <c r="AG31" s="141">
        <f t="shared" si="16"/>
        <v>70.2</v>
      </c>
      <c r="AH31" s="141">
        <f t="shared" si="17"/>
        <v>980</v>
      </c>
      <c r="AI31" s="108"/>
      <c r="AJ31" s="148">
        <v>24</v>
      </c>
      <c r="AK31" s="149" t="s">
        <v>27</v>
      </c>
      <c r="AL31" s="144">
        <f t="shared" si="8"/>
        <v>76</v>
      </c>
      <c r="AM31" s="145">
        <f t="shared" si="9"/>
        <v>6.7483573077606121E-2</v>
      </c>
      <c r="AN31" s="144">
        <f t="shared" si="13"/>
        <v>70.2</v>
      </c>
      <c r="AO31" s="145">
        <f t="shared" si="10"/>
        <v>6.2333510921683551E-2</v>
      </c>
      <c r="AP31" s="144">
        <f t="shared" si="14"/>
        <v>980</v>
      </c>
      <c r="AQ31" s="145">
        <f t="shared" si="11"/>
        <v>0.87018291600071052</v>
      </c>
    </row>
    <row r="32" spans="1:43" x14ac:dyDescent="0.25">
      <c r="A32" s="156">
        <v>25</v>
      </c>
      <c r="B32" s="157" t="s">
        <v>28</v>
      </c>
      <c r="C32" s="266">
        <v>12.4</v>
      </c>
      <c r="D32" s="266">
        <f>((2.3+1)*1.3)*2</f>
        <v>8.58</v>
      </c>
      <c r="E32" s="260">
        <f>[1]September!O30+[2]September!O30+[3]September!O30</f>
        <v>255</v>
      </c>
      <c r="F32" s="87">
        <f t="shared" si="0"/>
        <v>275.98</v>
      </c>
      <c r="G32" s="266">
        <v>24.4</v>
      </c>
      <c r="H32" s="266">
        <f>((2.6+1)*1.3)*2</f>
        <v>9.3600000000000012</v>
      </c>
      <c r="I32" s="260">
        <f>[1]September!V30+[2]September!V30+[3]September!V30</f>
        <v>350</v>
      </c>
      <c r="J32" s="87">
        <f t="shared" si="1"/>
        <v>383.76</v>
      </c>
      <c r="K32" s="266">
        <v>24.8</v>
      </c>
      <c r="L32" s="266">
        <v>8.32</v>
      </c>
      <c r="M32" s="260">
        <v>100</v>
      </c>
      <c r="N32" s="87">
        <f t="shared" si="2"/>
        <v>133.12</v>
      </c>
      <c r="O32" s="266">
        <v>28.8</v>
      </c>
      <c r="P32" s="266">
        <v>7.8000000000000007</v>
      </c>
      <c r="Q32" s="260">
        <f>[1]September!AC30+[2]September!AC30+[3]November!AC30</f>
        <v>970</v>
      </c>
      <c r="R32" s="87">
        <f t="shared" si="3"/>
        <v>1006.6</v>
      </c>
      <c r="S32" s="259">
        <v>0</v>
      </c>
      <c r="T32" s="266">
        <v>5.2</v>
      </c>
      <c r="U32" s="260">
        <f>100+25</f>
        <v>125</v>
      </c>
      <c r="V32" s="87">
        <f t="shared" si="4"/>
        <v>130.19999999999999</v>
      </c>
      <c r="W32" s="259">
        <v>0</v>
      </c>
      <c r="X32" s="266">
        <v>52</v>
      </c>
      <c r="Y32" s="260">
        <f>[1]September!AX30+[2]September!AX30+[3]September!AW30</f>
        <v>120</v>
      </c>
      <c r="Z32" s="87">
        <f t="shared" si="5"/>
        <v>172</v>
      </c>
      <c r="AA32" s="94">
        <f t="shared" si="12"/>
        <v>2101.66</v>
      </c>
      <c r="AB32" s="96" t="s">
        <v>53</v>
      </c>
      <c r="AC32" s="138"/>
      <c r="AD32" s="146">
        <v>25</v>
      </c>
      <c r="AE32" s="147" t="s">
        <v>28</v>
      </c>
      <c r="AF32" s="141">
        <f t="shared" si="16"/>
        <v>90.399999999999991</v>
      </c>
      <c r="AG32" s="141">
        <f t="shared" si="16"/>
        <v>91.26</v>
      </c>
      <c r="AH32" s="141">
        <f t="shared" si="17"/>
        <v>1920</v>
      </c>
      <c r="AI32" s="108"/>
      <c r="AJ32" s="148">
        <v>25</v>
      </c>
      <c r="AK32" s="149" t="s">
        <v>28</v>
      </c>
      <c r="AL32" s="144">
        <f t="shared" si="8"/>
        <v>90.399999999999991</v>
      </c>
      <c r="AM32" s="145">
        <f t="shared" si="9"/>
        <v>4.3013617806876465E-2</v>
      </c>
      <c r="AN32" s="144">
        <f t="shared" si="13"/>
        <v>91.26</v>
      </c>
      <c r="AO32" s="145">
        <f t="shared" si="10"/>
        <v>4.3422818153269323E-2</v>
      </c>
      <c r="AP32" s="144">
        <f t="shared" si="14"/>
        <v>1920</v>
      </c>
      <c r="AQ32" s="145">
        <f t="shared" si="11"/>
        <v>0.91356356403985428</v>
      </c>
    </row>
    <row r="33" spans="1:43" x14ac:dyDescent="0.25">
      <c r="A33" s="156">
        <v>26</v>
      </c>
      <c r="B33" s="157" t="s">
        <v>29</v>
      </c>
      <c r="C33" s="266">
        <v>14.4</v>
      </c>
      <c r="D33" s="266">
        <v>3.9000000000000004</v>
      </c>
      <c r="E33" s="260">
        <f>[1]September!O31+[2]September!O31+[3]September!O31</f>
        <v>285</v>
      </c>
      <c r="F33" s="87">
        <f t="shared" si="0"/>
        <v>303.3</v>
      </c>
      <c r="G33" s="266">
        <v>15.2</v>
      </c>
      <c r="H33" s="266">
        <v>9.1</v>
      </c>
      <c r="I33" s="260">
        <f>[1]September!V31+[2]September!V31+[3]September!V31</f>
        <v>300</v>
      </c>
      <c r="J33" s="87">
        <f t="shared" si="1"/>
        <v>324.3</v>
      </c>
      <c r="K33" s="266">
        <v>15.6</v>
      </c>
      <c r="L33" s="266">
        <v>4.9399999999999995</v>
      </c>
      <c r="M33" s="260">
        <v>100</v>
      </c>
      <c r="N33" s="87">
        <f t="shared" si="2"/>
        <v>120.53999999999999</v>
      </c>
      <c r="O33" s="266">
        <v>20.399999999999999</v>
      </c>
      <c r="P33" s="266">
        <f>((4.9+1)*1.3)*2</f>
        <v>15.340000000000002</v>
      </c>
      <c r="Q33" s="260">
        <f>[1]September!AC31+[2]September!AC31+[3]November!AC31</f>
        <v>1050</v>
      </c>
      <c r="R33" s="87">
        <f t="shared" si="3"/>
        <v>1085.74</v>
      </c>
      <c r="S33" s="259">
        <v>0</v>
      </c>
      <c r="T33" s="266">
        <v>2.6</v>
      </c>
      <c r="U33" s="260">
        <f>30+35</f>
        <v>65</v>
      </c>
      <c r="V33" s="87">
        <f t="shared" si="4"/>
        <v>67.599999999999994</v>
      </c>
      <c r="W33" s="259">
        <v>0</v>
      </c>
      <c r="X33" s="266">
        <v>0</v>
      </c>
      <c r="Y33" s="260">
        <f>[1]September!AX31+[2]September!AX31+[3]September!AW31</f>
        <v>235</v>
      </c>
      <c r="Z33" s="87">
        <f t="shared" si="5"/>
        <v>235</v>
      </c>
      <c r="AA33" s="94">
        <f t="shared" si="12"/>
        <v>2136.48</v>
      </c>
      <c r="AB33" s="96" t="s">
        <v>53</v>
      </c>
      <c r="AC33" s="138"/>
      <c r="AD33" s="146">
        <v>26</v>
      </c>
      <c r="AE33" s="147" t="s">
        <v>29</v>
      </c>
      <c r="AF33" s="141">
        <f t="shared" si="16"/>
        <v>65.599999999999994</v>
      </c>
      <c r="AG33" s="141">
        <f t="shared" si="16"/>
        <v>35.880000000000003</v>
      </c>
      <c r="AH33" s="141">
        <f t="shared" si="17"/>
        <v>2035</v>
      </c>
      <c r="AI33" s="108"/>
      <c r="AJ33" s="148">
        <v>26</v>
      </c>
      <c r="AK33" s="149" t="s">
        <v>29</v>
      </c>
      <c r="AL33" s="144">
        <f t="shared" si="8"/>
        <v>65.599999999999994</v>
      </c>
      <c r="AM33" s="145">
        <f t="shared" si="9"/>
        <v>3.0704710551935892E-2</v>
      </c>
      <c r="AN33" s="144">
        <f t="shared" si="13"/>
        <v>35.880000000000003</v>
      </c>
      <c r="AO33" s="145">
        <f t="shared" si="10"/>
        <v>1.6793978881150303E-2</v>
      </c>
      <c r="AP33" s="144">
        <f t="shared" si="14"/>
        <v>2035</v>
      </c>
      <c r="AQ33" s="145">
        <f t="shared" si="11"/>
        <v>0.95250131056691378</v>
      </c>
    </row>
    <row r="34" spans="1:43" x14ac:dyDescent="0.25">
      <c r="A34" s="156">
        <v>27</v>
      </c>
      <c r="B34" s="157" t="s">
        <v>30</v>
      </c>
      <c r="C34" s="266">
        <v>12.8</v>
      </c>
      <c r="D34" s="266">
        <f>((1.2+1)*1.3)*2</f>
        <v>5.7200000000000006</v>
      </c>
      <c r="E34" s="260">
        <f>[1]September!O32+[2]September!O32+[3]September!O32</f>
        <v>190</v>
      </c>
      <c r="F34" s="87">
        <f t="shared" si="0"/>
        <v>208.52</v>
      </c>
      <c r="G34" s="266">
        <v>14</v>
      </c>
      <c r="H34" s="266">
        <f>((3.2+1)*1.3)*2</f>
        <v>10.920000000000002</v>
      </c>
      <c r="I34" s="260">
        <f>[1]September!V32+[2]September!V32+[3]September!V32</f>
        <v>215</v>
      </c>
      <c r="J34" s="87">
        <f t="shared" si="1"/>
        <v>239.92000000000002</v>
      </c>
      <c r="K34" s="266">
        <v>15.6</v>
      </c>
      <c r="L34" s="266">
        <v>1.8199999999999998</v>
      </c>
      <c r="M34" s="260">
        <v>100</v>
      </c>
      <c r="N34" s="87">
        <f t="shared" si="2"/>
        <v>117.42</v>
      </c>
      <c r="O34" s="266">
        <v>19.2</v>
      </c>
      <c r="P34" s="266">
        <v>3.12</v>
      </c>
      <c r="Q34" s="260">
        <f>[1]September!AC32+[2]September!AC32+[3]November!AC32</f>
        <v>250</v>
      </c>
      <c r="R34" s="87">
        <f t="shared" si="3"/>
        <v>272.32</v>
      </c>
      <c r="S34" s="259">
        <v>0</v>
      </c>
      <c r="T34" s="266">
        <v>5.2</v>
      </c>
      <c r="U34" s="260">
        <f>50+40</f>
        <v>90</v>
      </c>
      <c r="V34" s="87">
        <f t="shared" si="4"/>
        <v>95.2</v>
      </c>
      <c r="W34" s="259">
        <v>0</v>
      </c>
      <c r="X34" s="266">
        <v>52</v>
      </c>
      <c r="Y34" s="260">
        <f>[1]September!AX32+[2]September!AX32+[3]September!AW32</f>
        <v>150</v>
      </c>
      <c r="Z34" s="87">
        <f t="shared" si="5"/>
        <v>202</v>
      </c>
      <c r="AA34" s="94">
        <f t="shared" si="12"/>
        <v>1135.3800000000001</v>
      </c>
      <c r="AB34" s="96" t="s">
        <v>53</v>
      </c>
      <c r="AC34" s="138"/>
      <c r="AD34" s="146">
        <v>27</v>
      </c>
      <c r="AE34" s="147" t="s">
        <v>30</v>
      </c>
      <c r="AF34" s="141">
        <f t="shared" si="16"/>
        <v>61.599999999999994</v>
      </c>
      <c r="AG34" s="141">
        <f t="shared" si="16"/>
        <v>78.78</v>
      </c>
      <c r="AH34" s="141">
        <f t="shared" si="17"/>
        <v>995</v>
      </c>
      <c r="AI34" s="108"/>
      <c r="AJ34" s="148">
        <v>27</v>
      </c>
      <c r="AK34" s="149" t="s">
        <v>30</v>
      </c>
      <c r="AL34" s="144">
        <f t="shared" si="8"/>
        <v>61.599999999999994</v>
      </c>
      <c r="AM34" s="145">
        <f t="shared" si="9"/>
        <v>5.4254963096055937E-2</v>
      </c>
      <c r="AN34" s="144">
        <f t="shared" si="13"/>
        <v>78.78</v>
      </c>
      <c r="AO34" s="145">
        <f t="shared" si="10"/>
        <v>6.9386460920572837E-2</v>
      </c>
      <c r="AP34" s="144">
        <f t="shared" si="14"/>
        <v>995</v>
      </c>
      <c r="AQ34" s="145">
        <f t="shared" si="11"/>
        <v>0.87635857598337108</v>
      </c>
    </row>
    <row r="35" spans="1:43" x14ac:dyDescent="0.25">
      <c r="A35" s="156">
        <v>28</v>
      </c>
      <c r="B35" s="157" t="s">
        <v>31</v>
      </c>
      <c r="C35" s="266">
        <v>0</v>
      </c>
      <c r="D35" s="266">
        <v>0</v>
      </c>
      <c r="E35" s="260">
        <f>[1]September!O33+[2]September!O33+[3]September!O33</f>
        <v>200</v>
      </c>
      <c r="F35" s="87">
        <f t="shared" si="0"/>
        <v>200</v>
      </c>
      <c r="G35" s="266">
        <v>0</v>
      </c>
      <c r="H35" s="266">
        <v>0</v>
      </c>
      <c r="I35" s="260">
        <f>[1]September!V33+[2]September!V33+[3]September!V33</f>
        <v>150</v>
      </c>
      <c r="J35" s="87">
        <f t="shared" si="1"/>
        <v>150</v>
      </c>
      <c r="K35" s="266">
        <v>18</v>
      </c>
      <c r="L35" s="266">
        <v>2.8600000000000003</v>
      </c>
      <c r="M35" s="260"/>
      <c r="N35" s="87">
        <f t="shared" si="2"/>
        <v>20.86</v>
      </c>
      <c r="O35" s="266">
        <v>0</v>
      </c>
      <c r="P35" s="266">
        <v>2.6</v>
      </c>
      <c r="Q35" s="260">
        <f>[1]September!AC33+[2]September!AC33+[3]November!AC33</f>
        <v>1000</v>
      </c>
      <c r="R35" s="87">
        <f t="shared" si="3"/>
        <v>1002.6</v>
      </c>
      <c r="S35" s="259">
        <v>0</v>
      </c>
      <c r="T35" s="266">
        <v>0</v>
      </c>
      <c r="U35" s="260">
        <v>150</v>
      </c>
      <c r="V35" s="87">
        <f t="shared" si="4"/>
        <v>150</v>
      </c>
      <c r="W35" s="259">
        <v>0</v>
      </c>
      <c r="X35" s="266">
        <v>0</v>
      </c>
      <c r="Y35" s="260">
        <f>[1]September!AX33+[2]September!AX33+[3]September!AW33</f>
        <v>100</v>
      </c>
      <c r="Z35" s="87">
        <f t="shared" si="5"/>
        <v>100</v>
      </c>
      <c r="AA35" s="94">
        <f t="shared" si="12"/>
        <v>1623.46</v>
      </c>
      <c r="AB35" s="96" t="s">
        <v>53</v>
      </c>
      <c r="AC35" s="138"/>
      <c r="AD35" s="146">
        <v>28</v>
      </c>
      <c r="AE35" s="147" t="s">
        <v>31</v>
      </c>
      <c r="AF35" s="141">
        <f t="shared" si="16"/>
        <v>18</v>
      </c>
      <c r="AG35" s="141">
        <f t="shared" si="16"/>
        <v>5.4600000000000009</v>
      </c>
      <c r="AH35" s="141">
        <f t="shared" si="17"/>
        <v>1600</v>
      </c>
      <c r="AI35" s="108"/>
      <c r="AJ35" s="148">
        <v>28</v>
      </c>
      <c r="AK35" s="149" t="s">
        <v>31</v>
      </c>
      <c r="AL35" s="144">
        <f t="shared" si="8"/>
        <v>18</v>
      </c>
      <c r="AM35" s="145">
        <f t="shared" si="9"/>
        <v>1.1087430549566974E-2</v>
      </c>
      <c r="AN35" s="144">
        <f t="shared" si="13"/>
        <v>5.4600000000000009</v>
      </c>
      <c r="AO35" s="145">
        <f t="shared" si="10"/>
        <v>3.3631872667019827E-3</v>
      </c>
      <c r="AP35" s="144">
        <f t="shared" si="14"/>
        <v>1600</v>
      </c>
      <c r="AQ35" s="145">
        <f t="shared" si="11"/>
        <v>0.985549382183731</v>
      </c>
    </row>
    <row r="36" spans="1:43" x14ac:dyDescent="0.25">
      <c r="A36" s="156">
        <v>29</v>
      </c>
      <c r="B36" s="157" t="s">
        <v>32</v>
      </c>
      <c r="C36" s="266">
        <v>0</v>
      </c>
      <c r="D36" s="266">
        <v>0</v>
      </c>
      <c r="E36" s="260">
        <f>[1]September!O34+[2]September!O34+[3]September!O34</f>
        <v>0</v>
      </c>
      <c r="F36" s="87">
        <f t="shared" si="0"/>
        <v>0</v>
      </c>
      <c r="G36" s="266">
        <v>0</v>
      </c>
      <c r="H36" s="266">
        <v>0</v>
      </c>
      <c r="I36" s="260">
        <f>[1]September!V34+[2]September!V34+[3]September!V34</f>
        <v>0</v>
      </c>
      <c r="J36" s="87">
        <f t="shared" si="1"/>
        <v>0</v>
      </c>
      <c r="K36" s="266">
        <v>26</v>
      </c>
      <c r="L36" s="266">
        <v>3.9000000000000004</v>
      </c>
      <c r="M36" s="260"/>
      <c r="N36" s="87">
        <f t="shared" si="2"/>
        <v>29.9</v>
      </c>
      <c r="O36" s="266">
        <v>0</v>
      </c>
      <c r="P36" s="266">
        <v>0</v>
      </c>
      <c r="Q36" s="260">
        <f>[1]September!AC34+[2]September!AC34+[3]November!AC34</f>
        <v>650</v>
      </c>
      <c r="R36" s="87">
        <f t="shared" si="3"/>
        <v>650</v>
      </c>
      <c r="S36" s="259">
        <v>0</v>
      </c>
      <c r="T36" s="266">
        <v>0</v>
      </c>
      <c r="U36" s="260"/>
      <c r="V36" s="87">
        <f t="shared" si="4"/>
        <v>0</v>
      </c>
      <c r="W36" s="259">
        <v>0</v>
      </c>
      <c r="X36" s="266">
        <v>0</v>
      </c>
      <c r="Y36" s="260">
        <f>[1]September!AX34+[2]September!AX34+[3]September!AW34</f>
        <v>0</v>
      </c>
      <c r="Z36" s="87">
        <f t="shared" si="5"/>
        <v>0</v>
      </c>
      <c r="AA36" s="94">
        <f t="shared" si="12"/>
        <v>679.9</v>
      </c>
      <c r="AB36" s="96" t="s">
        <v>53</v>
      </c>
      <c r="AC36" s="138"/>
      <c r="AD36" s="146">
        <v>29</v>
      </c>
      <c r="AE36" s="147" t="s">
        <v>32</v>
      </c>
      <c r="AF36" s="141">
        <f t="shared" si="16"/>
        <v>26</v>
      </c>
      <c r="AG36" s="141">
        <f t="shared" si="16"/>
        <v>3.9000000000000004</v>
      </c>
      <c r="AH36" s="141">
        <f t="shared" si="17"/>
        <v>650</v>
      </c>
      <c r="AI36" s="108"/>
      <c r="AJ36" s="148">
        <v>29</v>
      </c>
      <c r="AK36" s="149" t="s">
        <v>32</v>
      </c>
      <c r="AL36" s="144">
        <f t="shared" si="8"/>
        <v>26</v>
      </c>
      <c r="AM36" s="145">
        <f t="shared" si="9"/>
        <v>3.8240917782026769E-2</v>
      </c>
      <c r="AN36" s="144">
        <f t="shared" si="13"/>
        <v>3.9000000000000004</v>
      </c>
      <c r="AO36" s="145">
        <f t="shared" si="10"/>
        <v>5.7361376673040164E-3</v>
      </c>
      <c r="AP36" s="144">
        <f t="shared" si="14"/>
        <v>650</v>
      </c>
      <c r="AQ36" s="145">
        <f t="shared" si="11"/>
        <v>0.95602294455066927</v>
      </c>
    </row>
    <row r="37" spans="1:43" x14ac:dyDescent="0.25">
      <c r="A37" s="156">
        <v>30</v>
      </c>
      <c r="B37" s="157" t="s">
        <v>33</v>
      </c>
      <c r="C37" s="266">
        <v>15.6</v>
      </c>
      <c r="D37" s="266">
        <f>((1.2+1)*1.3)*2</f>
        <v>5.7200000000000006</v>
      </c>
      <c r="E37" s="260">
        <f>[1]September!O35+[2]September!O35+[3]September!O35</f>
        <v>240</v>
      </c>
      <c r="F37" s="87">
        <f t="shared" si="0"/>
        <v>261.32</v>
      </c>
      <c r="G37" s="266">
        <v>14</v>
      </c>
      <c r="H37" s="266">
        <f>((1.5+1)*1.3)*2</f>
        <v>6.5</v>
      </c>
      <c r="I37" s="260">
        <f>[1]September!V35+[2]September!V35+[3]September!V35</f>
        <v>1130</v>
      </c>
      <c r="J37" s="87">
        <f t="shared" si="1"/>
        <v>1150.5</v>
      </c>
      <c r="K37" s="266">
        <v>15.6</v>
      </c>
      <c r="L37" s="266">
        <v>3.3800000000000003</v>
      </c>
      <c r="M37" s="260">
        <v>100</v>
      </c>
      <c r="N37" s="87">
        <f t="shared" si="2"/>
        <v>118.98</v>
      </c>
      <c r="O37" s="266">
        <v>26.8</v>
      </c>
      <c r="P37" s="266">
        <v>2.6</v>
      </c>
      <c r="Q37" s="260">
        <f>[1]September!AC35+[2]September!AC35+[3]November!AC35</f>
        <v>350</v>
      </c>
      <c r="R37" s="87">
        <f t="shared" si="3"/>
        <v>379.4</v>
      </c>
      <c r="S37" s="259">
        <v>0</v>
      </c>
      <c r="T37" s="266">
        <v>5.2</v>
      </c>
      <c r="U37" s="260">
        <v>100</v>
      </c>
      <c r="V37" s="87">
        <f t="shared" si="4"/>
        <v>105.2</v>
      </c>
      <c r="W37" s="259">
        <v>0</v>
      </c>
      <c r="X37" s="266">
        <v>52</v>
      </c>
      <c r="Y37" s="260">
        <f>[1]September!AX35+[2]September!AX35+[3]September!AW35</f>
        <v>271</v>
      </c>
      <c r="Z37" s="87">
        <f t="shared" si="5"/>
        <v>323</v>
      </c>
      <c r="AA37" s="94">
        <f t="shared" si="12"/>
        <v>2338.3999999999996</v>
      </c>
      <c r="AB37" s="96" t="s">
        <v>53</v>
      </c>
      <c r="AC37" s="138"/>
      <c r="AD37" s="146">
        <v>30</v>
      </c>
      <c r="AE37" s="147" t="s">
        <v>33</v>
      </c>
      <c r="AF37" s="141">
        <f t="shared" si="16"/>
        <v>72</v>
      </c>
      <c r="AG37" s="141">
        <f t="shared" si="16"/>
        <v>75.400000000000006</v>
      </c>
      <c r="AH37" s="141">
        <f t="shared" si="17"/>
        <v>2191</v>
      </c>
      <c r="AI37" s="108"/>
      <c r="AJ37" s="148">
        <v>30</v>
      </c>
      <c r="AK37" s="149" t="s">
        <v>33</v>
      </c>
      <c r="AL37" s="144">
        <f t="shared" si="8"/>
        <v>72</v>
      </c>
      <c r="AM37" s="145">
        <f t="shared" si="9"/>
        <v>3.0790283954840923E-2</v>
      </c>
      <c r="AN37" s="144">
        <f t="shared" si="13"/>
        <v>75.400000000000006</v>
      </c>
      <c r="AO37" s="145">
        <f t="shared" si="10"/>
        <v>3.2244269586041742E-2</v>
      </c>
      <c r="AP37" s="144">
        <f t="shared" si="14"/>
        <v>2191</v>
      </c>
      <c r="AQ37" s="145">
        <f t="shared" si="11"/>
        <v>0.9369654464591175</v>
      </c>
    </row>
    <row r="38" spans="1:43" ht="15.75" thickBot="1" x14ac:dyDescent="0.3">
      <c r="A38" s="158">
        <v>31</v>
      </c>
      <c r="B38" s="159" t="s">
        <v>34</v>
      </c>
      <c r="C38" s="261"/>
      <c r="D38" s="262"/>
      <c r="E38" s="262"/>
      <c r="F38" s="88">
        <f t="shared" si="0"/>
        <v>0</v>
      </c>
      <c r="G38" s="261"/>
      <c r="H38" s="262"/>
      <c r="I38" s="262"/>
      <c r="J38" s="88">
        <f t="shared" si="1"/>
        <v>0</v>
      </c>
      <c r="K38" s="261"/>
      <c r="L38" s="262"/>
      <c r="M38" s="262"/>
      <c r="N38" s="88">
        <f t="shared" si="2"/>
        <v>0</v>
      </c>
      <c r="O38" s="266"/>
      <c r="P38" s="262"/>
      <c r="Q38" s="262"/>
      <c r="R38" s="88">
        <f t="shared" si="3"/>
        <v>0</v>
      </c>
      <c r="S38" s="261"/>
      <c r="T38" s="262"/>
      <c r="U38" s="262"/>
      <c r="V38" s="88">
        <f t="shared" si="4"/>
        <v>0</v>
      </c>
      <c r="W38" s="261"/>
      <c r="X38" s="262"/>
      <c r="Y38" s="262"/>
      <c r="Z38" s="88">
        <f t="shared" si="5"/>
        <v>0</v>
      </c>
      <c r="AA38" s="94">
        <f t="shared" si="12"/>
        <v>0</v>
      </c>
      <c r="AB38" s="97" t="s">
        <v>53</v>
      </c>
      <c r="AC38" s="138"/>
      <c r="AD38" s="150">
        <v>31</v>
      </c>
      <c r="AE38" s="151" t="s">
        <v>34</v>
      </c>
      <c r="AF38" s="141">
        <f t="shared" si="16"/>
        <v>0</v>
      </c>
      <c r="AG38" s="141">
        <f t="shared" si="16"/>
        <v>0</v>
      </c>
      <c r="AH38" s="141">
        <f t="shared" si="17"/>
        <v>0</v>
      </c>
      <c r="AI38" s="108"/>
      <c r="AJ38" s="148">
        <v>31</v>
      </c>
      <c r="AK38" s="149" t="s">
        <v>34</v>
      </c>
      <c r="AL38" s="152">
        <f t="shared" si="8"/>
        <v>0</v>
      </c>
      <c r="AM38" s="153" t="e">
        <f t="shared" si="9"/>
        <v>#DIV/0!</v>
      </c>
      <c r="AN38" s="144">
        <f t="shared" si="13"/>
        <v>0</v>
      </c>
      <c r="AO38" s="145" t="e">
        <f t="shared" si="10"/>
        <v>#DIV/0!</v>
      </c>
      <c r="AP38" s="144">
        <f t="shared" si="14"/>
        <v>0</v>
      </c>
      <c r="AQ38" s="145" t="e">
        <f t="shared" si="11"/>
        <v>#DIV/0!</v>
      </c>
    </row>
    <row r="39" spans="1:43" ht="33.75" customHeight="1" thickBot="1" x14ac:dyDescent="0.3">
      <c r="A39" s="308" t="s">
        <v>58</v>
      </c>
      <c r="B39" s="309"/>
      <c r="C39" s="99">
        <f>SUM(C8:C38)</f>
        <v>288.40000000000003</v>
      </c>
      <c r="D39" s="100">
        <f t="shared" ref="D39:I39" si="18">SUM(D8:D38)</f>
        <v>142.73999999999998</v>
      </c>
      <c r="E39" s="100">
        <f t="shared" si="18"/>
        <v>6145</v>
      </c>
      <c r="F39" s="219">
        <f t="shared" si="18"/>
        <v>6576.14</v>
      </c>
      <c r="G39" s="101">
        <f t="shared" si="18"/>
        <v>324.79999999999995</v>
      </c>
      <c r="H39" s="102">
        <f t="shared" si="18"/>
        <v>191.87999999999994</v>
      </c>
      <c r="I39" s="102">
        <f t="shared" si="18"/>
        <v>10480</v>
      </c>
      <c r="J39" s="219">
        <f>SUM(J8:J38)</f>
        <v>10996.679999999998</v>
      </c>
      <c r="K39" s="101">
        <f>SUM(K8:K38)</f>
        <v>458.00000000000011</v>
      </c>
      <c r="L39" s="102">
        <f>SUM(L8:L38)</f>
        <v>160.67999999999998</v>
      </c>
      <c r="M39" s="102">
        <f t="shared" ref="M39" si="19">SUM(M8:M38)</f>
        <v>2400</v>
      </c>
      <c r="N39" s="219">
        <f>SUM(N8:N38)</f>
        <v>3018.6800000000003</v>
      </c>
      <c r="O39" s="101">
        <f>SUM(O8:O38)</f>
        <v>486.40000000000003</v>
      </c>
      <c r="P39" s="102">
        <f>SUM(P8:P38)</f>
        <v>232.44000000000003</v>
      </c>
      <c r="Q39" s="102">
        <f t="shared" ref="Q39" si="20">SUM(Q8:Q38)</f>
        <v>18965</v>
      </c>
      <c r="R39" s="219">
        <f>SUM(R8:R38)</f>
        <v>19683.840000000004</v>
      </c>
      <c r="S39" s="101">
        <f>SUM(S8:S38)</f>
        <v>0</v>
      </c>
      <c r="T39" s="102">
        <f>SUM(T8:T38)</f>
        <v>150.79999999999993</v>
      </c>
      <c r="U39" s="102">
        <f t="shared" ref="U39" si="21">SUM(U8:U38)</f>
        <v>3500</v>
      </c>
      <c r="V39" s="219">
        <f>SUM(V8:V38)</f>
        <v>3650.7999999999988</v>
      </c>
      <c r="W39" s="101">
        <f>SUM(W8:W38)</f>
        <v>0</v>
      </c>
      <c r="X39" s="102">
        <f>SUM(X8:X38)</f>
        <v>980.2</v>
      </c>
      <c r="Y39" s="102">
        <f t="shared" ref="Y39" si="22">SUM(Y8:Y38)</f>
        <v>4627</v>
      </c>
      <c r="Z39" s="219">
        <f>SUM(Z8:Z38)</f>
        <v>5607.2</v>
      </c>
      <c r="AA39" s="220">
        <f>SUM(AA8:AA38)</f>
        <v>49533.339999999989</v>
      </c>
      <c r="AB39" s="221" t="s">
        <v>51</v>
      </c>
      <c r="AC39" s="103"/>
      <c r="AD39" s="104" t="s">
        <v>96</v>
      </c>
      <c r="AE39" s="105"/>
      <c r="AF39" s="106">
        <f>SUM(AF8:AF38)</f>
        <v>1557.6</v>
      </c>
      <c r="AG39" s="106">
        <f>SUM(AG8:AG38)</f>
        <v>1862.9000000000005</v>
      </c>
      <c r="AH39" s="107">
        <f>SUM(AH8:AH38)</f>
        <v>46117</v>
      </c>
      <c r="AI39" s="108"/>
      <c r="AJ39" s="109" t="s">
        <v>94</v>
      </c>
      <c r="AK39" s="110"/>
      <c r="AL39" s="111">
        <f>SUM(AL8:AL38)</f>
        <v>1557.6</v>
      </c>
      <c r="AM39" s="112" t="s">
        <v>64</v>
      </c>
      <c r="AN39" s="111">
        <f>SUM(AN8:AN38)</f>
        <v>1862.9000000000005</v>
      </c>
      <c r="AO39" s="113" t="s">
        <v>64</v>
      </c>
      <c r="AP39" s="111">
        <f>SUM(AP8:AP38)</f>
        <v>46117</v>
      </c>
      <c r="AQ39" s="113" t="s">
        <v>64</v>
      </c>
    </row>
    <row r="40" spans="1:43" ht="33.75" customHeight="1" thickBot="1" x14ac:dyDescent="0.3">
      <c r="A40" s="308" t="s">
        <v>59</v>
      </c>
      <c r="B40" s="309"/>
      <c r="C40" s="114">
        <f>C39/1000</f>
        <v>0.28840000000000005</v>
      </c>
      <c r="D40" s="115">
        <f t="shared" ref="D40:E40" si="23">D39/1000</f>
        <v>0.14273999999999998</v>
      </c>
      <c r="E40" s="115">
        <f t="shared" si="23"/>
        <v>6.1449999999999996</v>
      </c>
      <c r="F40" s="222">
        <f>F39/1000</f>
        <v>6.5761400000000005</v>
      </c>
      <c r="G40" s="116">
        <f>G39/1000</f>
        <v>0.32479999999999998</v>
      </c>
      <c r="H40" s="117">
        <f t="shared" ref="H40:I40" si="24">H39/1000</f>
        <v>0.19187999999999994</v>
      </c>
      <c r="I40" s="117">
        <f t="shared" si="24"/>
        <v>10.48</v>
      </c>
      <c r="J40" s="222">
        <f>J39/1000</f>
        <v>10.996679999999998</v>
      </c>
      <c r="K40" s="116">
        <f>K39/1000</f>
        <v>0.45800000000000013</v>
      </c>
      <c r="L40" s="117">
        <f t="shared" ref="L40:M40" si="25">L39/1000</f>
        <v>0.16067999999999999</v>
      </c>
      <c r="M40" s="117">
        <f t="shared" si="25"/>
        <v>2.4</v>
      </c>
      <c r="N40" s="222">
        <f>N39/1000</f>
        <v>3.0186800000000003</v>
      </c>
      <c r="O40" s="116">
        <f>O39/1000</f>
        <v>0.48640000000000005</v>
      </c>
      <c r="P40" s="117">
        <f t="shared" ref="P40:Q40" si="26">P39/1000</f>
        <v>0.23244000000000004</v>
      </c>
      <c r="Q40" s="117">
        <f t="shared" si="26"/>
        <v>18.965</v>
      </c>
      <c r="R40" s="222">
        <f>R39/1000</f>
        <v>19.683840000000004</v>
      </c>
      <c r="S40" s="116">
        <f>S39/1000</f>
        <v>0</v>
      </c>
      <c r="T40" s="117">
        <f t="shared" ref="T40" si="27">T39/1000</f>
        <v>0.15079999999999993</v>
      </c>
      <c r="U40" s="117">
        <f>U39/1000</f>
        <v>3.5</v>
      </c>
      <c r="V40" s="222">
        <f>V39/1000</f>
        <v>3.6507999999999989</v>
      </c>
      <c r="W40" s="116">
        <f>W39/1000</f>
        <v>0</v>
      </c>
      <c r="X40" s="117">
        <f t="shared" ref="X40:Y40" si="28">X39/1000</f>
        <v>0.98020000000000007</v>
      </c>
      <c r="Y40" s="117">
        <f t="shared" si="28"/>
        <v>4.6269999999999998</v>
      </c>
      <c r="Z40" s="222">
        <f>Z39/1000</f>
        <v>5.6071999999999997</v>
      </c>
      <c r="AA40" s="223">
        <f>AA39/1000</f>
        <v>49.533339999999988</v>
      </c>
      <c r="AB40" s="224" t="s">
        <v>52</v>
      </c>
      <c r="AC40" s="103"/>
      <c r="AD40" s="118" t="s">
        <v>97</v>
      </c>
      <c r="AE40" s="119"/>
      <c r="AF40" s="120">
        <f>AF39/1000</f>
        <v>1.5575999999999999</v>
      </c>
      <c r="AG40" s="120">
        <f t="shared" ref="AG40:AH40" si="29">AG39/1000</f>
        <v>1.8629000000000004</v>
      </c>
      <c r="AH40" s="121">
        <f t="shared" si="29"/>
        <v>46.116999999999997</v>
      </c>
      <c r="AI40" s="108"/>
      <c r="AJ40" s="109" t="s">
        <v>95</v>
      </c>
      <c r="AK40" s="110"/>
      <c r="AL40" s="122">
        <f>AL39/1000</f>
        <v>1.5575999999999999</v>
      </c>
      <c r="AM40" s="123">
        <f>AL40/AA40</f>
        <v>3.1445487019449936E-2</v>
      </c>
      <c r="AN40" s="122">
        <f>AN39/1000</f>
        <v>1.8629000000000004</v>
      </c>
      <c r="AO40" s="124">
        <f>AN40/AA40</f>
        <v>3.7609012434857023E-2</v>
      </c>
      <c r="AP40" s="122">
        <f>AP39/1000</f>
        <v>46.116999999999997</v>
      </c>
      <c r="AQ40" s="124">
        <f>AP40/AA40</f>
        <v>0.93102948438364963</v>
      </c>
    </row>
    <row r="41" spans="1:43" ht="33.75" customHeight="1" thickBot="1" x14ac:dyDescent="0.3">
      <c r="A41" s="308" t="s">
        <v>74</v>
      </c>
      <c r="B41" s="309"/>
      <c r="C41" s="114">
        <f>_xlfn.AGGREGATE(1,7,C8:C38)</f>
        <v>9.9448275862068982</v>
      </c>
      <c r="D41" s="114">
        <f>_xlfn.AGGREGATE(1,7,D8:D38)</f>
        <v>4.9220689655172407</v>
      </c>
      <c r="E41" s="114">
        <f>_xlfn.AGGREGATE(1,7,E8:E38)</f>
        <v>211.89655172413794</v>
      </c>
      <c r="F41" s="222">
        <f>AVERAGEIF(F8:F38,"&gt;0")</f>
        <v>274.00583333333333</v>
      </c>
      <c r="G41" s="114">
        <f>_xlfn.AGGREGATE(1,7,G8:G38)</f>
        <v>11.2</v>
      </c>
      <c r="H41" s="114">
        <f>_xlfn.AGGREGATE(1,7,H8:H38)</f>
        <v>6.6165517241379286</v>
      </c>
      <c r="I41" s="114">
        <f>_xlfn.AGGREGATE(1,7,I8:I38)</f>
        <v>349.33333333333331</v>
      </c>
      <c r="J41" s="222">
        <f>AVERAGEIF(J8:J38,"&gt;0")</f>
        <v>458.19499999999994</v>
      </c>
      <c r="K41" s="114">
        <f>_xlfn.AGGREGATE(1,7,K8:K38)</f>
        <v>15.793103448275867</v>
      </c>
      <c r="L41" s="114">
        <f>_xlfn.AGGREGATE(1,7,L8:L38)</f>
        <v>5.5406896551724127</v>
      </c>
      <c r="M41" s="114">
        <f>_xlfn.AGGREGATE(1,7,M8:M38)</f>
        <v>109.09090909090909</v>
      </c>
      <c r="N41" s="222">
        <f>AVERAGEIF(N8:N38,"&gt;0")</f>
        <v>104.09241379310346</v>
      </c>
      <c r="O41" s="114">
        <f>_xlfn.AGGREGATE(1,7,O8:O38)</f>
        <v>16.77241379310345</v>
      </c>
      <c r="P41" s="114">
        <f>_xlfn.AGGREGATE(1,7,P8:P38)</f>
        <v>8.0151724137931044</v>
      </c>
      <c r="Q41" s="114">
        <f>_xlfn.AGGREGATE(1,7,Q8:Q38)</f>
        <v>632.16666666666663</v>
      </c>
      <c r="R41" s="222">
        <f>AVERAGEIF(R8:R38,"&gt;0")</f>
        <v>656.12800000000016</v>
      </c>
      <c r="S41" s="114">
        <f>_xlfn.AGGREGATE(1,7,S8:S38)</f>
        <v>0</v>
      </c>
      <c r="T41" s="114">
        <f>_xlfn.AGGREGATE(1,7,T8:T38)</f>
        <v>5.1999999999999975</v>
      </c>
      <c r="U41" s="114">
        <f>_xlfn.AGGREGATE(1,7,U8:U38)</f>
        <v>145.83333333333334</v>
      </c>
      <c r="V41" s="222">
        <f>AVERAGEIF(V8:V38,"&gt;0")</f>
        <v>146.03199999999995</v>
      </c>
      <c r="W41" s="114">
        <f>_xlfn.AGGREGATE(1,7,W8:W38)</f>
        <v>0</v>
      </c>
      <c r="X41" s="114">
        <f>_xlfn.AGGREGATE(1,7,X8:X38)</f>
        <v>33.800000000000004</v>
      </c>
      <c r="Y41" s="114">
        <f>_xlfn.AGGREGATE(1,7,Y8:Y38)</f>
        <v>154.23333333333332</v>
      </c>
      <c r="Z41" s="222">
        <f>AVERAGEIF(Z8:Z38,"&gt;0")</f>
        <v>233.63333333333333</v>
      </c>
      <c r="AA41" s="223">
        <f>AVERAGEIF(AA8:AA38,"&gt;0")</f>
        <v>1651.1113333333331</v>
      </c>
      <c r="AB41" s="225" t="s">
        <v>75</v>
      </c>
      <c r="AC41" s="103"/>
      <c r="AD41" s="118" t="s">
        <v>98</v>
      </c>
      <c r="AE41" s="119"/>
      <c r="AF41" s="125">
        <f>AVERAGEIF(AF8:AF38,"&gt;0")</f>
        <v>53.710344827586205</v>
      </c>
      <c r="AG41" s="125">
        <f>AVERAGEIF(AG8:AG38,"&gt;0")</f>
        <v>64.237931034482784</v>
      </c>
      <c r="AH41" s="125">
        <f>AVERAGEIF(AH8:AH38,"&gt;0")</f>
        <v>1537.2333333333333</v>
      </c>
      <c r="AI41" s="108"/>
      <c r="AJ41" s="109" t="s">
        <v>99</v>
      </c>
      <c r="AK41" s="110"/>
      <c r="AL41" s="125">
        <f>AVERAGEIF(AL8:AL38,"&gt;0")</f>
        <v>53.710344827586205</v>
      </c>
      <c r="AM41" s="126" t="s">
        <v>64</v>
      </c>
      <c r="AN41" s="125">
        <f>AVERAGEIF(AN8:AN38,"&gt;0")</f>
        <v>64.237931034482784</v>
      </c>
      <c r="AO41" s="124" t="s">
        <v>64</v>
      </c>
      <c r="AP41" s="125">
        <f>AVERAGEIF(AP8:AP38,"&gt;0")</f>
        <v>1537.2333333333333</v>
      </c>
      <c r="AQ41" s="124" t="s">
        <v>64</v>
      </c>
    </row>
    <row r="42" spans="1:43" x14ac:dyDescent="0.25">
      <c r="J42" s="89" t="s">
        <v>61</v>
      </c>
    </row>
    <row r="44" spans="1:43" x14ac:dyDescent="0.25">
      <c r="A44" s="128" t="s">
        <v>61</v>
      </c>
      <c r="C44" s="130" t="s">
        <v>50</v>
      </c>
      <c r="D44" s="131"/>
    </row>
    <row r="45" spans="1:43" x14ac:dyDescent="0.25">
      <c r="C45" s="132"/>
      <c r="D45" s="131" t="s">
        <v>133</v>
      </c>
    </row>
    <row r="46" spans="1:43" x14ac:dyDescent="0.25">
      <c r="C46" s="133"/>
      <c r="D46" s="131" t="s">
        <v>100</v>
      </c>
    </row>
    <row r="47" spans="1:43" x14ac:dyDescent="0.25">
      <c r="C47" s="134"/>
      <c r="D47" s="131" t="s">
        <v>100</v>
      </c>
    </row>
    <row r="48" spans="1:43" x14ac:dyDescent="0.25">
      <c r="C48" s="135"/>
      <c r="D48" s="131" t="s">
        <v>100</v>
      </c>
    </row>
    <row r="49" spans="3:5" x14ac:dyDescent="0.25">
      <c r="C49" s="136"/>
      <c r="D49" s="131" t="s">
        <v>100</v>
      </c>
    </row>
    <row r="50" spans="3:5" x14ac:dyDescent="0.25">
      <c r="C50" s="137"/>
      <c r="D50" s="131" t="s">
        <v>100</v>
      </c>
    </row>
    <row r="51" spans="3:5" x14ac:dyDescent="0.25">
      <c r="E51" s="129" t="s">
        <v>61</v>
      </c>
    </row>
  </sheetData>
  <sheetProtection algorithmName="SHA-512" hashValue="SR8rzOgU1B13KASCKPQBvinJHfpPkd4cMxTuJaJjZx4yVBmtBFDdNBmkth+APcz0Icr83IcFE8ot0kunSe52BQ==" saltValue="0grIufHrBQbutVOw3TAbqQ==" spinCount="100000" sheet="1" objects="1" scenarios="1" formatColumns="0" formatRows="0"/>
  <mergeCells count="14">
    <mergeCell ref="A39:B39"/>
    <mergeCell ref="A40:B40"/>
    <mergeCell ref="A41:B41"/>
    <mergeCell ref="A4:A7"/>
    <mergeCell ref="B4:B7"/>
    <mergeCell ref="AJ6:AQ6"/>
    <mergeCell ref="AA3:AA7"/>
    <mergeCell ref="AB3:AB7"/>
    <mergeCell ref="C6:E6"/>
    <mergeCell ref="G6:I6"/>
    <mergeCell ref="K6:M6"/>
    <mergeCell ref="O6:Q6"/>
    <mergeCell ref="S6:U6"/>
    <mergeCell ref="W6:Y6"/>
  </mergeCells>
  <printOptions horizontalCentered="1"/>
  <pageMargins left="0.19685039370078741" right="0.19685039370078741" top="0.39370078740157483" bottom="0.39370078740157483" header="0.11811023622047245" footer="0.11811023622047245"/>
  <pageSetup paperSize="9" scale="6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01C3D-EE4C-4866-936E-BEA297DFEB7E}">
  <sheetPr>
    <tabColor rgb="FFFFFF00"/>
    <pageSetUpPr fitToPage="1"/>
  </sheetPr>
  <dimension ref="A1:AQ51"/>
  <sheetViews>
    <sheetView showGridLines="0" view="pageBreakPreview" zoomScale="80" zoomScaleNormal="107" zoomScaleSheetLayoutView="80" workbookViewId="0">
      <pane xSplit="2" ySplit="7" topLeftCell="C8" activePane="bottomRight" state="frozen"/>
      <selection activeCell="H31" sqref="H31"/>
      <selection pane="topRight" activeCell="H31" sqref="H31"/>
      <selection pane="bottomLeft" activeCell="H31" sqref="H31"/>
      <selection pane="bottomRight" activeCell="X8" activeCellId="5" sqref="D8:D38 H8:H38 L8:L38 P8:P38 T8:T38 X8:X35"/>
    </sheetView>
  </sheetViews>
  <sheetFormatPr defaultRowHeight="15" x14ac:dyDescent="0.25"/>
  <cols>
    <col min="1" max="1" width="11.42578125" style="1" customWidth="1"/>
    <col min="2" max="2" width="7.28515625" style="1" customWidth="1"/>
    <col min="3" max="5" width="6.5703125" style="2" customWidth="1"/>
    <col min="6" max="6" width="6.5703125" style="10" customWidth="1"/>
    <col min="7" max="9" width="6.5703125" style="2" customWidth="1"/>
    <col min="10" max="10" width="6.5703125" style="10" customWidth="1"/>
    <col min="11" max="13" width="6.5703125" style="2" customWidth="1"/>
    <col min="14" max="14" width="6.5703125" style="10" customWidth="1"/>
    <col min="15" max="17" width="6.5703125" style="2" customWidth="1"/>
    <col min="18" max="18" width="6.5703125" style="10" customWidth="1"/>
    <col min="19" max="21" width="6.5703125" style="2" customWidth="1"/>
    <col min="22" max="22" width="6.5703125" style="10" customWidth="1"/>
    <col min="23" max="25" width="6.5703125" style="2" customWidth="1"/>
    <col min="26" max="26" width="6.5703125" style="10" customWidth="1"/>
    <col min="27" max="27" width="10.42578125" style="4" customWidth="1"/>
    <col min="28" max="28" width="12" customWidth="1"/>
    <col min="29" max="29" width="8.5703125" hidden="1" customWidth="1"/>
    <col min="30" max="30" width="14.140625" style="2" hidden="1" customWidth="1"/>
    <col min="31" max="31" width="8.5703125" style="2" hidden="1" customWidth="1"/>
    <col min="32" max="32" width="11.7109375" style="2" hidden="1" customWidth="1"/>
    <col min="33" max="34" width="10.7109375" style="2" hidden="1" customWidth="1"/>
    <col min="35" max="35" width="8.5703125" style="2" hidden="1" customWidth="1"/>
    <col min="36" max="36" width="15.85546875" style="2" hidden="1" customWidth="1"/>
    <col min="37" max="37" width="8.5703125" style="2" hidden="1" customWidth="1"/>
    <col min="38" max="38" width="7.7109375" style="2" hidden="1" customWidth="1"/>
    <col min="39" max="39" width="11.5703125" style="2" hidden="1" customWidth="1"/>
    <col min="40" max="40" width="6.5703125" style="2" hidden="1" customWidth="1"/>
    <col min="41" max="41" width="11.85546875" style="2" hidden="1" customWidth="1"/>
    <col min="42" max="42" width="6.5703125" style="2" hidden="1" customWidth="1"/>
    <col min="43" max="43" width="11.85546875" style="2" hidden="1" customWidth="1"/>
  </cols>
  <sheetData>
    <row r="1" spans="1:43" s="60" customFormat="1" x14ac:dyDescent="0.25">
      <c r="A1" s="226" t="s">
        <v>116</v>
      </c>
      <c r="B1" s="227" t="str">
        <f>'Rekap Neraca Pengelolaan Sampah'!C3</f>
        <v>PT PELINDO DAYA SEJAHTERA</v>
      </c>
      <c r="C1" s="129"/>
      <c r="D1" s="129"/>
      <c r="E1" s="129"/>
      <c r="F1" s="89"/>
      <c r="G1" s="129"/>
      <c r="H1" s="129"/>
      <c r="I1" s="129"/>
      <c r="J1" s="89"/>
      <c r="K1" s="129"/>
      <c r="L1" s="129"/>
      <c r="M1" s="129"/>
      <c r="N1" s="89"/>
      <c r="O1" s="129"/>
      <c r="P1" s="129"/>
      <c r="Q1" s="129"/>
      <c r="R1" s="89"/>
      <c r="S1" s="129"/>
      <c r="T1" s="129"/>
      <c r="U1" s="129"/>
      <c r="V1" s="89"/>
      <c r="W1" s="129"/>
      <c r="X1" s="129"/>
      <c r="Y1" s="129"/>
      <c r="Z1" s="89"/>
      <c r="AA1" s="91"/>
      <c r="AB1" s="98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2"/>
      <c r="AP1" s="62"/>
      <c r="AQ1" s="62"/>
    </row>
    <row r="2" spans="1:43" s="60" customFormat="1" ht="15.75" thickBot="1" x14ac:dyDescent="0.3">
      <c r="A2" s="226" t="s">
        <v>42</v>
      </c>
      <c r="B2" s="227">
        <f>'Rekap Neraca Pengelolaan Sampah'!D2</f>
        <v>2024</v>
      </c>
      <c r="C2" s="129"/>
      <c r="D2" s="129"/>
      <c r="E2" s="129"/>
      <c r="F2" s="89"/>
      <c r="G2" s="129"/>
      <c r="H2" s="129"/>
      <c r="I2" s="129"/>
      <c r="J2" s="89"/>
      <c r="K2" s="129"/>
      <c r="L2" s="129"/>
      <c r="M2" s="129"/>
      <c r="N2" s="89"/>
      <c r="O2" s="129"/>
      <c r="P2" s="129"/>
      <c r="Q2" s="129"/>
      <c r="R2" s="89"/>
      <c r="S2" s="129"/>
      <c r="T2" s="129"/>
      <c r="U2" s="129"/>
      <c r="V2" s="89"/>
      <c r="W2" s="129"/>
      <c r="X2" s="129"/>
      <c r="Y2" s="129"/>
      <c r="Z2" s="89"/>
      <c r="AA2" s="91"/>
      <c r="AB2" s="98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2"/>
      <c r="AO2" s="62"/>
      <c r="AP2" s="62"/>
      <c r="AQ2" s="62"/>
    </row>
    <row r="3" spans="1:43" ht="15.75" thickBot="1" x14ac:dyDescent="0.3">
      <c r="A3" s="160" t="s">
        <v>2</v>
      </c>
      <c r="B3" s="82" t="s">
        <v>76</v>
      </c>
      <c r="C3" s="160" t="s">
        <v>36</v>
      </c>
      <c r="D3" s="90"/>
      <c r="E3" s="90"/>
      <c r="F3" s="82"/>
      <c r="G3" s="160" t="s">
        <v>36</v>
      </c>
      <c r="H3" s="90"/>
      <c r="I3" s="90"/>
      <c r="J3" s="90"/>
      <c r="K3" s="160" t="s">
        <v>36</v>
      </c>
      <c r="L3" s="90"/>
      <c r="M3" s="90"/>
      <c r="N3" s="90"/>
      <c r="O3" s="160" t="s">
        <v>36</v>
      </c>
      <c r="P3" s="90"/>
      <c r="Q3" s="90"/>
      <c r="R3" s="90"/>
      <c r="S3" s="160" t="s">
        <v>36</v>
      </c>
      <c r="T3" s="90"/>
      <c r="U3" s="90"/>
      <c r="V3" s="90"/>
      <c r="W3" s="160" t="s">
        <v>36</v>
      </c>
      <c r="X3" s="90"/>
      <c r="Y3" s="90"/>
      <c r="Z3" s="90"/>
      <c r="AA3" s="297" t="s">
        <v>125</v>
      </c>
      <c r="AB3" s="300" t="s">
        <v>57</v>
      </c>
      <c r="AD3" s="20" t="s">
        <v>54</v>
      </c>
      <c r="AE3" s="21"/>
      <c r="AF3" s="21"/>
      <c r="AG3" s="21"/>
      <c r="AH3" s="22"/>
      <c r="AI3" s="4"/>
      <c r="AJ3" s="43" t="s">
        <v>56</v>
      </c>
      <c r="AK3" s="44"/>
      <c r="AL3" s="44"/>
      <c r="AM3" s="44"/>
      <c r="AN3" s="44"/>
      <c r="AO3" s="44"/>
      <c r="AP3" s="44"/>
      <c r="AQ3" s="44"/>
    </row>
    <row r="4" spans="1:43" ht="15" customHeight="1" x14ac:dyDescent="0.25">
      <c r="A4" s="310" t="s">
        <v>0</v>
      </c>
      <c r="B4" s="313" t="s">
        <v>87</v>
      </c>
      <c r="C4" s="98" t="s">
        <v>37</v>
      </c>
      <c r="D4" s="98"/>
      <c r="E4" s="98"/>
      <c r="F4" s="83"/>
      <c r="G4" s="166" t="s">
        <v>37</v>
      </c>
      <c r="H4" s="98"/>
      <c r="I4" s="98"/>
      <c r="J4" s="91"/>
      <c r="K4" s="166" t="s">
        <v>37</v>
      </c>
      <c r="L4" s="98"/>
      <c r="M4" s="98"/>
      <c r="N4" s="91"/>
      <c r="O4" s="166" t="s">
        <v>37</v>
      </c>
      <c r="P4" s="98"/>
      <c r="Q4" s="98"/>
      <c r="R4" s="91"/>
      <c r="S4" s="166" t="s">
        <v>37</v>
      </c>
      <c r="T4" s="98"/>
      <c r="U4" s="98"/>
      <c r="V4" s="91"/>
      <c r="W4" s="166" t="s">
        <v>37</v>
      </c>
      <c r="X4" s="98"/>
      <c r="Y4" s="98"/>
      <c r="Z4" s="91"/>
      <c r="AA4" s="298"/>
      <c r="AB4" s="301"/>
      <c r="AD4" s="23" t="s">
        <v>55</v>
      </c>
      <c r="AE4" s="24"/>
      <c r="AF4" s="24"/>
      <c r="AG4" s="25"/>
      <c r="AH4" s="26"/>
      <c r="AI4"/>
      <c r="AJ4" s="37" t="s">
        <v>126</v>
      </c>
      <c r="AK4" s="45"/>
      <c r="AL4" s="45"/>
      <c r="AM4" s="46"/>
      <c r="AN4" s="46"/>
      <c r="AO4" s="46"/>
      <c r="AP4" s="46"/>
      <c r="AQ4" s="46"/>
    </row>
    <row r="5" spans="1:43" ht="15.75" thickBot="1" x14ac:dyDescent="0.3">
      <c r="A5" s="311"/>
      <c r="B5" s="314"/>
      <c r="C5" s="91" t="s">
        <v>3</v>
      </c>
      <c r="D5" s="91"/>
      <c r="E5" s="91"/>
      <c r="F5" s="83"/>
      <c r="G5" s="174" t="s">
        <v>3</v>
      </c>
      <c r="H5" s="91"/>
      <c r="I5" s="91"/>
      <c r="J5" s="91"/>
      <c r="K5" s="174" t="s">
        <v>3</v>
      </c>
      <c r="L5" s="91"/>
      <c r="M5" s="91"/>
      <c r="N5" s="91"/>
      <c r="O5" s="174" t="s">
        <v>3</v>
      </c>
      <c r="P5" s="91"/>
      <c r="Q5" s="91"/>
      <c r="R5" s="91"/>
      <c r="S5" s="174" t="s">
        <v>3</v>
      </c>
      <c r="T5" s="91"/>
      <c r="U5" s="91"/>
      <c r="V5" s="91"/>
      <c r="W5" s="174" t="s">
        <v>3</v>
      </c>
      <c r="X5" s="91"/>
      <c r="Y5" s="91"/>
      <c r="Z5" s="91"/>
      <c r="AA5" s="298"/>
      <c r="AB5" s="301"/>
      <c r="AD5" s="27" t="s">
        <v>37</v>
      </c>
      <c r="AE5" s="25"/>
      <c r="AF5" s="25"/>
      <c r="AG5" s="24"/>
      <c r="AH5" s="28"/>
      <c r="AI5" s="4"/>
      <c r="AJ5" s="47" t="s">
        <v>91</v>
      </c>
      <c r="AK5" s="48" t="str">
        <f>B3</f>
        <v>Oktober</v>
      </c>
      <c r="AL5" s="48" t="s">
        <v>63</v>
      </c>
      <c r="AM5" s="48" t="str">
        <f>B4</f>
        <v>Tanggal</v>
      </c>
      <c r="AN5" s="49"/>
      <c r="AO5" s="49"/>
      <c r="AP5" s="49"/>
      <c r="AQ5" s="49"/>
    </row>
    <row r="6" spans="1:43" ht="30.75" customHeight="1" thickBot="1" x14ac:dyDescent="0.3">
      <c r="A6" s="311"/>
      <c r="B6" s="314"/>
      <c r="C6" s="316" t="s">
        <v>109</v>
      </c>
      <c r="D6" s="303"/>
      <c r="E6" s="303"/>
      <c r="F6" s="84"/>
      <c r="G6" s="304" t="s">
        <v>123</v>
      </c>
      <c r="H6" s="305"/>
      <c r="I6" s="305"/>
      <c r="J6" s="92"/>
      <c r="K6" s="306" t="s">
        <v>111</v>
      </c>
      <c r="L6" s="307"/>
      <c r="M6" s="307"/>
      <c r="N6" s="93"/>
      <c r="O6" s="306" t="s">
        <v>115</v>
      </c>
      <c r="P6" s="307"/>
      <c r="Q6" s="307"/>
      <c r="R6" s="93"/>
      <c r="S6" s="304" t="s">
        <v>124</v>
      </c>
      <c r="T6" s="305"/>
      <c r="U6" s="305"/>
      <c r="V6" s="92"/>
      <c r="W6" s="304" t="s">
        <v>84</v>
      </c>
      <c r="X6" s="305"/>
      <c r="Y6" s="305"/>
      <c r="Z6" s="93"/>
      <c r="AA6" s="298"/>
      <c r="AB6" s="301"/>
      <c r="AD6" s="29" t="s">
        <v>91</v>
      </c>
      <c r="AE6" s="30" t="str">
        <f>B3</f>
        <v>Oktober</v>
      </c>
      <c r="AF6" s="30" t="s">
        <v>63</v>
      </c>
      <c r="AG6" s="25" t="str">
        <f>B4</f>
        <v>Tanggal</v>
      </c>
      <c r="AH6" s="26"/>
      <c r="AI6"/>
      <c r="AJ6" s="317" t="s">
        <v>93</v>
      </c>
      <c r="AK6" s="317"/>
      <c r="AL6" s="317"/>
      <c r="AM6" s="317"/>
      <c r="AN6" s="317"/>
      <c r="AO6" s="317"/>
      <c r="AP6" s="317"/>
      <c r="AQ6" s="317"/>
    </row>
    <row r="7" spans="1:43" s="6" customFormat="1" ht="120.75" customHeight="1" thickBot="1" x14ac:dyDescent="0.3">
      <c r="A7" s="312"/>
      <c r="B7" s="315"/>
      <c r="C7" s="184" t="s">
        <v>85</v>
      </c>
      <c r="D7" s="182" t="s">
        <v>108</v>
      </c>
      <c r="E7" s="183" t="s">
        <v>145</v>
      </c>
      <c r="F7" s="85" t="s">
        <v>131</v>
      </c>
      <c r="G7" s="184" t="s">
        <v>85</v>
      </c>
      <c r="H7" s="182" t="s">
        <v>108</v>
      </c>
      <c r="I7" s="183" t="s">
        <v>145</v>
      </c>
      <c r="J7" s="85" t="s">
        <v>131</v>
      </c>
      <c r="K7" s="184" t="s">
        <v>85</v>
      </c>
      <c r="L7" s="182" t="s">
        <v>108</v>
      </c>
      <c r="M7" s="183" t="s">
        <v>145</v>
      </c>
      <c r="N7" s="85" t="s">
        <v>131</v>
      </c>
      <c r="O7" s="184" t="s">
        <v>85</v>
      </c>
      <c r="P7" s="182" t="s">
        <v>108</v>
      </c>
      <c r="Q7" s="183" t="s">
        <v>145</v>
      </c>
      <c r="R7" s="85" t="s">
        <v>131</v>
      </c>
      <c r="S7" s="184" t="s">
        <v>85</v>
      </c>
      <c r="T7" s="182" t="s">
        <v>108</v>
      </c>
      <c r="U7" s="183" t="s">
        <v>145</v>
      </c>
      <c r="V7" s="85" t="s">
        <v>131</v>
      </c>
      <c r="W7" s="184" t="s">
        <v>85</v>
      </c>
      <c r="X7" s="182" t="s">
        <v>108</v>
      </c>
      <c r="Y7" s="183" t="s">
        <v>145</v>
      </c>
      <c r="Z7" s="85" t="s">
        <v>131</v>
      </c>
      <c r="AA7" s="299"/>
      <c r="AB7" s="302"/>
      <c r="AC7" s="5"/>
      <c r="AD7" s="12" t="s">
        <v>90</v>
      </c>
      <c r="AE7" s="13" t="s">
        <v>87</v>
      </c>
      <c r="AF7" s="31" t="s">
        <v>92</v>
      </c>
      <c r="AG7" s="31" t="s">
        <v>110</v>
      </c>
      <c r="AH7" s="31" t="s">
        <v>101</v>
      </c>
      <c r="AI7" s="5"/>
      <c r="AJ7" s="41" t="s">
        <v>90</v>
      </c>
      <c r="AK7" s="41" t="s">
        <v>87</v>
      </c>
      <c r="AL7" s="42" t="s">
        <v>40</v>
      </c>
      <c r="AM7" s="42" t="s">
        <v>60</v>
      </c>
      <c r="AN7" s="42" t="s">
        <v>38</v>
      </c>
      <c r="AO7" s="42" t="s">
        <v>39</v>
      </c>
      <c r="AP7" s="42" t="s">
        <v>103</v>
      </c>
      <c r="AQ7" s="42" t="s">
        <v>102</v>
      </c>
    </row>
    <row r="8" spans="1:43" x14ac:dyDescent="0.25">
      <c r="A8" s="154">
        <v>1</v>
      </c>
      <c r="B8" s="155" t="s">
        <v>4</v>
      </c>
      <c r="C8" s="257">
        <v>0</v>
      </c>
      <c r="D8" s="266">
        <f>(((2+2)*1.3)*2)*2</f>
        <v>20.8</v>
      </c>
      <c r="E8" s="258">
        <f>[4]Oktober!E8+[3]Oktober!O6</f>
        <v>155</v>
      </c>
      <c r="F8" s="86">
        <f t="shared" ref="F8:F38" si="0">SUM(C8:E8)</f>
        <v>175.8</v>
      </c>
      <c r="G8" s="266">
        <v>14</v>
      </c>
      <c r="H8" s="266">
        <f>(((4+1)*1.3)*2)*2</f>
        <v>26</v>
      </c>
      <c r="I8" s="258">
        <f>[4]Oktober!I8+[3]Oktober!V6</f>
        <v>375</v>
      </c>
      <c r="J8" s="86">
        <f t="shared" ref="J8:J38" si="1">SUM(G8:I8)</f>
        <v>415</v>
      </c>
      <c r="K8" s="266">
        <v>14.8</v>
      </c>
      <c r="L8" s="266">
        <v>5.7200000000000006</v>
      </c>
      <c r="M8" s="258">
        <f>[4]Oktober!M8</f>
        <v>100</v>
      </c>
      <c r="N8" s="86">
        <f t="shared" ref="N8:N38" si="2">SUM(K8:M8)</f>
        <v>120.52000000000001</v>
      </c>
      <c r="O8" s="266">
        <v>18</v>
      </c>
      <c r="P8" s="266">
        <f>(((4+1)*1.3)*2)*2</f>
        <v>26</v>
      </c>
      <c r="Q8" s="258">
        <f>[4]Oktober!Q8+[3]Oktober!AC6</f>
        <v>725</v>
      </c>
      <c r="R8" s="86">
        <f t="shared" ref="R8:R38" si="3">SUM(O8:Q8)</f>
        <v>769</v>
      </c>
      <c r="S8" s="257">
        <v>0</v>
      </c>
      <c r="T8" s="266">
        <f>(((2+1)*1.3)*2)*2</f>
        <v>15.600000000000001</v>
      </c>
      <c r="U8" s="258">
        <f>50+35</f>
        <v>85</v>
      </c>
      <c r="V8" s="86">
        <f t="shared" ref="V8:V38" si="4">SUM(S8:U8)</f>
        <v>100.6</v>
      </c>
      <c r="W8" s="257">
        <v>0</v>
      </c>
      <c r="X8" s="266">
        <f>(((13+1)*1.3)*2)*2</f>
        <v>72.8</v>
      </c>
      <c r="Y8" s="258">
        <f>[4]Oktober!Y8+[3]Oktober!AX6</f>
        <v>115</v>
      </c>
      <c r="Z8" s="86">
        <f t="shared" ref="Z8:Z38" si="5">SUM(W8:Y8)</f>
        <v>187.8</v>
      </c>
      <c r="AA8" s="94">
        <f>(F8+J8+N8+R8+V8+Z8)</f>
        <v>1768.7199999999998</v>
      </c>
      <c r="AB8" s="95" t="s">
        <v>53</v>
      </c>
      <c r="AC8" s="7"/>
      <c r="AD8" s="14">
        <v>1</v>
      </c>
      <c r="AE8" s="15" t="s">
        <v>4</v>
      </c>
      <c r="AF8" s="32">
        <f t="shared" ref="AF8:AG16" si="6">(C8+G8+K8+O8+S8+W8)</f>
        <v>46.8</v>
      </c>
      <c r="AG8" s="32">
        <f t="shared" si="6"/>
        <v>166.92000000000002</v>
      </c>
      <c r="AH8" s="32">
        <f t="shared" ref="AH8:AH16" si="7">(E8+I8+M8+Q8++U8+Y8)</f>
        <v>1555</v>
      </c>
      <c r="AI8" s="3"/>
      <c r="AJ8" s="33">
        <v>1</v>
      </c>
      <c r="AK8" s="34" t="s">
        <v>4</v>
      </c>
      <c r="AL8" s="38">
        <f t="shared" ref="AL8:AL38" si="8">AF8</f>
        <v>46.8</v>
      </c>
      <c r="AM8" s="39">
        <f t="shared" ref="AM8:AM38" si="9">AL8/AA8</f>
        <v>2.6459812745940569E-2</v>
      </c>
      <c r="AN8" s="38">
        <f>AG8</f>
        <v>166.92000000000002</v>
      </c>
      <c r="AO8" s="39">
        <f t="shared" ref="AO8:AO38" si="10">AN8/AA8</f>
        <v>9.4373332127188042E-2</v>
      </c>
      <c r="AP8" s="38">
        <f>AH8</f>
        <v>1555</v>
      </c>
      <c r="AQ8" s="39">
        <f t="shared" ref="AQ8:AQ38" si="11">AP8/AA8</f>
        <v>0.87916685512687154</v>
      </c>
    </row>
    <row r="9" spans="1:43" x14ac:dyDescent="0.25">
      <c r="A9" s="156">
        <v>2</v>
      </c>
      <c r="B9" s="157" t="s">
        <v>5</v>
      </c>
      <c r="C9" s="259">
        <v>0</v>
      </c>
      <c r="D9" s="266">
        <v>10.4</v>
      </c>
      <c r="E9" s="260">
        <f>[4]Oktober!E9+[3]Oktober!O7</f>
        <v>200</v>
      </c>
      <c r="F9" s="87">
        <f t="shared" si="0"/>
        <v>210.4</v>
      </c>
      <c r="G9" s="266">
        <v>10.8</v>
      </c>
      <c r="H9" s="266">
        <v>21.32</v>
      </c>
      <c r="I9" s="260">
        <f>[4]Oktober!I9+[3]Oktober!V7</f>
        <v>372</v>
      </c>
      <c r="J9" s="87">
        <f t="shared" si="1"/>
        <v>404.12</v>
      </c>
      <c r="K9" s="266">
        <v>16.8</v>
      </c>
      <c r="L9" s="266">
        <v>6.24</v>
      </c>
      <c r="M9" s="260">
        <f>[4]Oktober!M9</f>
        <v>145</v>
      </c>
      <c r="N9" s="87">
        <f t="shared" si="2"/>
        <v>168.04</v>
      </c>
      <c r="O9" s="266">
        <v>15.6</v>
      </c>
      <c r="P9" s="266">
        <v>22.36</v>
      </c>
      <c r="Q9" s="260">
        <f>[4]Oktober!Q9+[3]Oktober!AC7</f>
        <v>515</v>
      </c>
      <c r="R9" s="87">
        <f t="shared" si="3"/>
        <v>552.96</v>
      </c>
      <c r="S9" s="259">
        <v>0</v>
      </c>
      <c r="T9" s="266">
        <f>(((2+3)*1.3)*2)*2</f>
        <v>26</v>
      </c>
      <c r="U9" s="260">
        <f>80+40</f>
        <v>120</v>
      </c>
      <c r="V9" s="87">
        <f t="shared" si="4"/>
        <v>146</v>
      </c>
      <c r="W9" s="259">
        <v>0</v>
      </c>
      <c r="X9" s="266">
        <v>67.600000000000009</v>
      </c>
      <c r="Y9" s="260">
        <f>[4]Oktober!Y9+[3]Oktober!AX7</f>
        <v>150</v>
      </c>
      <c r="Z9" s="87">
        <f t="shared" si="5"/>
        <v>217.60000000000002</v>
      </c>
      <c r="AA9" s="94">
        <f t="shared" ref="AA9:AA38" si="12">(F9+J9+N9+R9+V9+Z9)</f>
        <v>1699.12</v>
      </c>
      <c r="AB9" s="96" t="s">
        <v>53</v>
      </c>
      <c r="AC9" s="7"/>
      <c r="AD9" s="16">
        <v>2</v>
      </c>
      <c r="AE9" s="17" t="s">
        <v>5</v>
      </c>
      <c r="AF9" s="32">
        <f t="shared" si="6"/>
        <v>43.2</v>
      </c>
      <c r="AG9" s="32">
        <f t="shared" si="6"/>
        <v>153.92000000000002</v>
      </c>
      <c r="AH9" s="32">
        <f t="shared" si="7"/>
        <v>1502</v>
      </c>
      <c r="AI9" s="3"/>
      <c r="AJ9" s="35">
        <v>2</v>
      </c>
      <c r="AK9" s="36" t="s">
        <v>5</v>
      </c>
      <c r="AL9" s="38">
        <f t="shared" si="8"/>
        <v>43.2</v>
      </c>
      <c r="AM9" s="39">
        <f t="shared" si="9"/>
        <v>2.542492584396629E-2</v>
      </c>
      <c r="AN9" s="38">
        <f t="shared" ref="AN9:AN38" si="13">AG9</f>
        <v>153.92000000000002</v>
      </c>
      <c r="AO9" s="39">
        <f t="shared" si="10"/>
        <v>9.0588069118131748E-2</v>
      </c>
      <c r="AP9" s="38">
        <f t="shared" ref="AP9:AP38" si="14">AH9</f>
        <v>1502</v>
      </c>
      <c r="AQ9" s="39">
        <f t="shared" si="11"/>
        <v>0.88398700503790206</v>
      </c>
    </row>
    <row r="10" spans="1:43" x14ac:dyDescent="0.25">
      <c r="A10" s="156">
        <v>3</v>
      </c>
      <c r="B10" s="157" t="s">
        <v>6</v>
      </c>
      <c r="C10" s="259">
        <v>0</v>
      </c>
      <c r="D10" s="266">
        <f>(((5.7+1)*1.3)*2)*2</f>
        <v>34.840000000000003</v>
      </c>
      <c r="E10" s="260">
        <f>[4]Oktober!E10+[3]Oktober!O8</f>
        <v>320</v>
      </c>
      <c r="F10" s="87">
        <f t="shared" si="0"/>
        <v>354.84000000000003</v>
      </c>
      <c r="G10" s="266">
        <v>12.4</v>
      </c>
      <c r="H10" s="266">
        <f>(((2.3+2)*1.3)*2)*2</f>
        <v>22.36</v>
      </c>
      <c r="I10" s="260">
        <f>[4]Oktober!I10+[3]Oktober!V8</f>
        <v>290</v>
      </c>
      <c r="J10" s="87">
        <f t="shared" si="1"/>
        <v>324.76</v>
      </c>
      <c r="K10" s="266">
        <v>18</v>
      </c>
      <c r="L10" s="266">
        <v>9.879999999999999</v>
      </c>
      <c r="M10" s="260">
        <f>[4]Oktober!M10</f>
        <v>80</v>
      </c>
      <c r="N10" s="87">
        <f t="shared" si="2"/>
        <v>107.88</v>
      </c>
      <c r="O10" s="266">
        <v>12.4</v>
      </c>
      <c r="P10" s="266">
        <f>(((3.2+1)*1.3)*2)*2</f>
        <v>21.840000000000003</v>
      </c>
      <c r="Q10" s="260">
        <f>[4]Oktober!Q10+[3]Oktober!AC8</f>
        <v>515</v>
      </c>
      <c r="R10" s="87">
        <f t="shared" si="3"/>
        <v>549.24</v>
      </c>
      <c r="S10" s="259">
        <v>0</v>
      </c>
      <c r="T10" s="266">
        <f>(((2+1)*1.3)*2)*2</f>
        <v>15.600000000000001</v>
      </c>
      <c r="U10" s="260">
        <f>130+40</f>
        <v>170</v>
      </c>
      <c r="V10" s="87">
        <f t="shared" si="4"/>
        <v>185.6</v>
      </c>
      <c r="W10" s="259">
        <v>0</v>
      </c>
      <c r="X10" s="266">
        <v>67.600000000000009</v>
      </c>
      <c r="Y10" s="260">
        <f>[4]Oktober!Y10+[3]Oktober!AX8</f>
        <v>150</v>
      </c>
      <c r="Z10" s="87">
        <f t="shared" si="5"/>
        <v>217.60000000000002</v>
      </c>
      <c r="AA10" s="94">
        <f t="shared" si="12"/>
        <v>1739.92</v>
      </c>
      <c r="AB10" s="96" t="s">
        <v>53</v>
      </c>
      <c r="AC10" s="7"/>
      <c r="AD10" s="16">
        <v>3</v>
      </c>
      <c r="AE10" s="17" t="s">
        <v>6</v>
      </c>
      <c r="AF10" s="32">
        <f t="shared" si="6"/>
        <v>42.8</v>
      </c>
      <c r="AG10" s="32">
        <f t="shared" si="6"/>
        <v>172.12</v>
      </c>
      <c r="AH10" s="32">
        <f t="shared" si="7"/>
        <v>1525</v>
      </c>
      <c r="AI10" s="3"/>
      <c r="AJ10" s="35">
        <v>3</v>
      </c>
      <c r="AK10" s="36" t="s">
        <v>6</v>
      </c>
      <c r="AL10" s="38">
        <f t="shared" si="8"/>
        <v>42.8</v>
      </c>
      <c r="AM10" s="39">
        <f t="shared" si="9"/>
        <v>2.459883213021288E-2</v>
      </c>
      <c r="AN10" s="38">
        <f t="shared" si="13"/>
        <v>172.12</v>
      </c>
      <c r="AO10" s="39">
        <f t="shared" si="10"/>
        <v>9.892408846383742E-2</v>
      </c>
      <c r="AP10" s="38">
        <f t="shared" si="14"/>
        <v>1525</v>
      </c>
      <c r="AQ10" s="39">
        <f t="shared" si="11"/>
        <v>0.87647707940594966</v>
      </c>
    </row>
    <row r="11" spans="1:43" x14ac:dyDescent="0.25">
      <c r="A11" s="156">
        <v>4</v>
      </c>
      <c r="B11" s="157" t="s">
        <v>7</v>
      </c>
      <c r="C11" s="259">
        <v>0</v>
      </c>
      <c r="D11" s="266">
        <f>(((3.3+1)*1.3)*2)*2</f>
        <v>22.36</v>
      </c>
      <c r="E11" s="260">
        <f>[4]Oktober!E11+[3]Oktober!O9</f>
        <v>175</v>
      </c>
      <c r="F11" s="87">
        <f t="shared" si="0"/>
        <v>197.36</v>
      </c>
      <c r="G11" s="266">
        <v>16.399999999999999</v>
      </c>
      <c r="H11" s="266">
        <v>29.119999999999997</v>
      </c>
      <c r="I11" s="260">
        <f>[4]Oktober!I11+[3]Oktober!V9</f>
        <v>340</v>
      </c>
      <c r="J11" s="87">
        <f t="shared" si="1"/>
        <v>385.52</v>
      </c>
      <c r="K11" s="266">
        <v>15.6</v>
      </c>
      <c r="L11" s="266">
        <v>10.920000000000002</v>
      </c>
      <c r="M11" s="260">
        <f>[4]Oktober!M11</f>
        <v>140</v>
      </c>
      <c r="N11" s="87">
        <f t="shared" si="2"/>
        <v>166.52</v>
      </c>
      <c r="O11" s="266">
        <v>16.8</v>
      </c>
      <c r="P11" s="266">
        <v>16.12</v>
      </c>
      <c r="Q11" s="260">
        <f>[4]Oktober!Q11+[3]Oktober!AC9</f>
        <v>663</v>
      </c>
      <c r="R11" s="87">
        <f t="shared" si="3"/>
        <v>695.92</v>
      </c>
      <c r="S11" s="259">
        <v>0</v>
      </c>
      <c r="T11" s="266">
        <f>(((2+2)*1.3)*2)*2</f>
        <v>20.8</v>
      </c>
      <c r="U11" s="260">
        <f>25+30</f>
        <v>55</v>
      </c>
      <c r="V11" s="87">
        <f t="shared" si="4"/>
        <v>75.8</v>
      </c>
      <c r="W11" s="259">
        <v>0</v>
      </c>
      <c r="X11" s="266">
        <f>(((13+1)*1.3)*2)*2</f>
        <v>72.8</v>
      </c>
      <c r="Y11" s="260">
        <f>[4]Oktober!Y11+[3]Oktober!AX9</f>
        <v>136</v>
      </c>
      <c r="Z11" s="87">
        <f t="shared" si="5"/>
        <v>208.8</v>
      </c>
      <c r="AA11" s="94">
        <f t="shared" si="12"/>
        <v>1729.9199999999998</v>
      </c>
      <c r="AB11" s="96" t="s">
        <v>53</v>
      </c>
      <c r="AC11" s="7"/>
      <c r="AD11" s="16">
        <v>4</v>
      </c>
      <c r="AE11" s="17" t="s">
        <v>7</v>
      </c>
      <c r="AF11" s="32">
        <f t="shared" si="6"/>
        <v>48.8</v>
      </c>
      <c r="AG11" s="32">
        <f t="shared" si="6"/>
        <v>172.12</v>
      </c>
      <c r="AH11" s="32">
        <f t="shared" si="7"/>
        <v>1509</v>
      </c>
      <c r="AI11" s="3"/>
      <c r="AJ11" s="35">
        <v>4</v>
      </c>
      <c r="AK11" s="36" t="s">
        <v>7</v>
      </c>
      <c r="AL11" s="38">
        <f t="shared" si="8"/>
        <v>48.8</v>
      </c>
      <c r="AM11" s="39">
        <f t="shared" si="9"/>
        <v>2.8209396966333705E-2</v>
      </c>
      <c r="AN11" s="38">
        <f t="shared" si="13"/>
        <v>172.12</v>
      </c>
      <c r="AO11" s="39">
        <f t="shared" si="10"/>
        <v>9.9495930447650774E-2</v>
      </c>
      <c r="AP11" s="38">
        <f t="shared" si="14"/>
        <v>1509</v>
      </c>
      <c r="AQ11" s="39">
        <f t="shared" si="11"/>
        <v>0.87229467258601556</v>
      </c>
    </row>
    <row r="12" spans="1:43" x14ac:dyDescent="0.25">
      <c r="A12" s="156">
        <v>5</v>
      </c>
      <c r="B12" s="157" t="s">
        <v>8</v>
      </c>
      <c r="C12" s="259">
        <v>0</v>
      </c>
      <c r="D12" s="266">
        <v>10.4</v>
      </c>
      <c r="E12" s="260">
        <f>[4]Oktober!E12+[3]Oktober!O10</f>
        <v>90</v>
      </c>
      <c r="F12" s="87">
        <f t="shared" si="0"/>
        <v>100.4</v>
      </c>
      <c r="G12" s="266">
        <v>0</v>
      </c>
      <c r="H12" s="266">
        <f>(((1+1)*1.3)*2)*2</f>
        <v>10.4</v>
      </c>
      <c r="I12" s="260">
        <f>[4]Oktober!I12+[3]Oktober!V10</f>
        <v>305</v>
      </c>
      <c r="J12" s="87">
        <f t="shared" si="1"/>
        <v>315.39999999999998</v>
      </c>
      <c r="K12" s="266">
        <v>16.399999999999999</v>
      </c>
      <c r="L12" s="266">
        <v>6.24</v>
      </c>
      <c r="M12" s="260">
        <f>[4]Oktober!M12</f>
        <v>0</v>
      </c>
      <c r="N12" s="87">
        <f t="shared" si="2"/>
        <v>22.64</v>
      </c>
      <c r="O12" s="266">
        <v>15.2</v>
      </c>
      <c r="P12" s="266">
        <f>(((5.1+1)*1.3)*2)*2</f>
        <v>31.72</v>
      </c>
      <c r="Q12" s="260">
        <f>[4]Oktober!Q12+[3]Oktober!AC10</f>
        <v>650</v>
      </c>
      <c r="R12" s="87">
        <f t="shared" si="3"/>
        <v>696.92</v>
      </c>
      <c r="S12" s="259">
        <v>0</v>
      </c>
      <c r="T12" s="266">
        <v>10.4</v>
      </c>
      <c r="U12" s="260">
        <f>45+20</f>
        <v>65</v>
      </c>
      <c r="V12" s="87">
        <f t="shared" si="4"/>
        <v>75.400000000000006</v>
      </c>
      <c r="W12" s="259">
        <v>0</v>
      </c>
      <c r="X12" s="266">
        <v>67.600000000000009</v>
      </c>
      <c r="Y12" s="260">
        <f>[4]Oktober!Y12+[3]Oktober!AX10</f>
        <v>70</v>
      </c>
      <c r="Z12" s="87">
        <f t="shared" si="5"/>
        <v>137.60000000000002</v>
      </c>
      <c r="AA12" s="94">
        <f t="shared" si="12"/>
        <v>1348.3600000000001</v>
      </c>
      <c r="AB12" s="96" t="s">
        <v>53</v>
      </c>
      <c r="AC12" s="7"/>
      <c r="AD12" s="16">
        <v>5</v>
      </c>
      <c r="AE12" s="17" t="s">
        <v>8</v>
      </c>
      <c r="AF12" s="32">
        <f t="shared" si="6"/>
        <v>31.599999999999998</v>
      </c>
      <c r="AG12" s="32">
        <f t="shared" si="6"/>
        <v>136.76</v>
      </c>
      <c r="AH12" s="32">
        <f t="shared" si="7"/>
        <v>1180</v>
      </c>
      <c r="AI12" s="3"/>
      <c r="AJ12" s="35">
        <v>5</v>
      </c>
      <c r="AK12" s="36" t="s">
        <v>8</v>
      </c>
      <c r="AL12" s="38">
        <f t="shared" si="8"/>
        <v>31.599999999999998</v>
      </c>
      <c r="AM12" s="39">
        <f t="shared" si="9"/>
        <v>2.3435877658785485E-2</v>
      </c>
      <c r="AN12" s="38">
        <f t="shared" si="13"/>
        <v>136.76</v>
      </c>
      <c r="AO12" s="39">
        <f t="shared" si="10"/>
        <v>0.10142691862707287</v>
      </c>
      <c r="AP12" s="38">
        <f t="shared" si="14"/>
        <v>1180</v>
      </c>
      <c r="AQ12" s="39">
        <f t="shared" si="11"/>
        <v>0.8751372037141415</v>
      </c>
    </row>
    <row r="13" spans="1:43" x14ac:dyDescent="0.25">
      <c r="A13" s="156">
        <v>6</v>
      </c>
      <c r="B13" s="157" t="s">
        <v>9</v>
      </c>
      <c r="C13" s="259">
        <v>0</v>
      </c>
      <c r="D13" s="266">
        <v>0</v>
      </c>
      <c r="E13" s="260">
        <f>[4]Oktober!E13+[3]Oktober!O11</f>
        <v>0</v>
      </c>
      <c r="F13" s="87">
        <f t="shared" si="0"/>
        <v>0</v>
      </c>
      <c r="G13" s="266">
        <v>0</v>
      </c>
      <c r="H13" s="266">
        <v>0</v>
      </c>
      <c r="I13" s="260">
        <f>[4]Oktober!I13+[3]Oktober!V11</f>
        <v>0</v>
      </c>
      <c r="J13" s="87">
        <f t="shared" si="1"/>
        <v>0</v>
      </c>
      <c r="K13" s="266">
        <v>14.8</v>
      </c>
      <c r="L13" s="266">
        <v>14.040000000000001</v>
      </c>
      <c r="M13" s="260">
        <f>[4]Oktober!M13</f>
        <v>0</v>
      </c>
      <c r="N13" s="87">
        <f t="shared" si="2"/>
        <v>28.840000000000003</v>
      </c>
      <c r="O13" s="266">
        <v>20.399999999999999</v>
      </c>
      <c r="P13" s="266">
        <v>16.64</v>
      </c>
      <c r="Q13" s="260">
        <f>[4]Oktober!Q13+[3]Oktober!AC11</f>
        <v>0</v>
      </c>
      <c r="R13" s="87">
        <f t="shared" si="3"/>
        <v>37.04</v>
      </c>
      <c r="S13" s="259">
        <v>0</v>
      </c>
      <c r="T13" s="266">
        <v>0</v>
      </c>
      <c r="U13" s="260"/>
      <c r="V13" s="87">
        <f t="shared" si="4"/>
        <v>0</v>
      </c>
      <c r="W13" s="259">
        <v>0</v>
      </c>
      <c r="X13" s="266">
        <v>0</v>
      </c>
      <c r="Y13" s="260">
        <f>[4]Oktober!Y13+[3]Oktober!AX11</f>
        <v>0</v>
      </c>
      <c r="Z13" s="87">
        <f t="shared" si="5"/>
        <v>0</v>
      </c>
      <c r="AA13" s="94">
        <f t="shared" si="12"/>
        <v>65.88</v>
      </c>
      <c r="AB13" s="96" t="s">
        <v>53</v>
      </c>
      <c r="AC13" s="7"/>
      <c r="AD13" s="16">
        <v>6</v>
      </c>
      <c r="AE13" s="17" t="s">
        <v>9</v>
      </c>
      <c r="AF13" s="32">
        <f t="shared" si="6"/>
        <v>35.200000000000003</v>
      </c>
      <c r="AG13" s="32">
        <f t="shared" si="6"/>
        <v>30.68</v>
      </c>
      <c r="AH13" s="32">
        <f t="shared" si="7"/>
        <v>0</v>
      </c>
      <c r="AI13" s="3"/>
      <c r="AJ13" s="35">
        <v>6</v>
      </c>
      <c r="AK13" s="36" t="s">
        <v>9</v>
      </c>
      <c r="AL13" s="38">
        <f t="shared" si="8"/>
        <v>35.200000000000003</v>
      </c>
      <c r="AM13" s="39">
        <f t="shared" si="9"/>
        <v>0.53430479659987862</v>
      </c>
      <c r="AN13" s="38">
        <f t="shared" si="13"/>
        <v>30.68</v>
      </c>
      <c r="AO13" s="39">
        <f t="shared" si="10"/>
        <v>0.46569520340012144</v>
      </c>
      <c r="AP13" s="38">
        <f t="shared" si="14"/>
        <v>0</v>
      </c>
      <c r="AQ13" s="39">
        <f t="shared" si="11"/>
        <v>0</v>
      </c>
    </row>
    <row r="14" spans="1:43" x14ac:dyDescent="0.25">
      <c r="A14" s="156">
        <v>7</v>
      </c>
      <c r="B14" s="157" t="s">
        <v>10</v>
      </c>
      <c r="C14" s="259">
        <v>0</v>
      </c>
      <c r="D14" s="266">
        <f>(((1+1)*1.3)*2)*2</f>
        <v>10.4</v>
      </c>
      <c r="E14" s="260">
        <f>[4]Oktober!E14+[3]Oktober!O12</f>
        <v>198</v>
      </c>
      <c r="F14" s="87">
        <f t="shared" si="0"/>
        <v>208.4</v>
      </c>
      <c r="G14" s="266">
        <v>11.6</v>
      </c>
      <c r="H14" s="266">
        <f>(((4.6+2)*1.3)*2)*2</f>
        <v>34.32</v>
      </c>
      <c r="I14" s="260">
        <f>[4]Oktober!I14+[3]Oktober!V12</f>
        <v>615</v>
      </c>
      <c r="J14" s="87">
        <f t="shared" si="1"/>
        <v>660.92</v>
      </c>
      <c r="K14" s="266">
        <v>20.8</v>
      </c>
      <c r="L14" s="266">
        <v>8.84</v>
      </c>
      <c r="M14" s="260">
        <f>[4]Oktober!M14</f>
        <v>120</v>
      </c>
      <c r="N14" s="87">
        <f t="shared" si="2"/>
        <v>149.63999999999999</v>
      </c>
      <c r="O14" s="266">
        <v>15.6</v>
      </c>
      <c r="P14" s="266">
        <f>(((5.5+1)*1.3)*2)*2</f>
        <v>33.800000000000004</v>
      </c>
      <c r="Q14" s="260">
        <f>[4]Oktober!Q14+[3]Oktober!AC12</f>
        <v>660</v>
      </c>
      <c r="R14" s="87">
        <f t="shared" si="3"/>
        <v>709.4</v>
      </c>
      <c r="S14" s="259">
        <v>0</v>
      </c>
      <c r="T14" s="266">
        <f>(((2+3)*1.3)*2)*2</f>
        <v>26</v>
      </c>
      <c r="U14" s="260">
        <f>85+40</f>
        <v>125</v>
      </c>
      <c r="V14" s="87">
        <f t="shared" si="4"/>
        <v>151</v>
      </c>
      <c r="W14" s="259">
        <v>0</v>
      </c>
      <c r="X14" s="266">
        <v>10.4</v>
      </c>
      <c r="Y14" s="260">
        <f>[4]Oktober!Y14+[3]Oktober!AX12</f>
        <v>165</v>
      </c>
      <c r="Z14" s="87">
        <f t="shared" si="5"/>
        <v>175.4</v>
      </c>
      <c r="AA14" s="94">
        <f t="shared" si="12"/>
        <v>2054.7599999999998</v>
      </c>
      <c r="AB14" s="96" t="s">
        <v>53</v>
      </c>
      <c r="AC14" s="7"/>
      <c r="AD14" s="16">
        <v>7</v>
      </c>
      <c r="AE14" s="17" t="s">
        <v>10</v>
      </c>
      <c r="AF14" s="32">
        <f t="shared" si="6"/>
        <v>48</v>
      </c>
      <c r="AG14" s="32">
        <f t="shared" si="6"/>
        <v>123.76000000000002</v>
      </c>
      <c r="AH14" s="32">
        <f t="shared" si="7"/>
        <v>1883</v>
      </c>
      <c r="AI14" s="3"/>
      <c r="AJ14" s="35">
        <v>7</v>
      </c>
      <c r="AK14" s="36" t="s">
        <v>10</v>
      </c>
      <c r="AL14" s="38">
        <f t="shared" si="8"/>
        <v>48</v>
      </c>
      <c r="AM14" s="39">
        <f t="shared" si="9"/>
        <v>2.3360392454593239E-2</v>
      </c>
      <c r="AN14" s="38">
        <f t="shared" si="13"/>
        <v>123.76000000000002</v>
      </c>
      <c r="AO14" s="39">
        <f t="shared" si="10"/>
        <v>6.0230878545426247E-2</v>
      </c>
      <c r="AP14" s="38">
        <f t="shared" si="14"/>
        <v>1883</v>
      </c>
      <c r="AQ14" s="39">
        <f t="shared" si="11"/>
        <v>0.9164087289999806</v>
      </c>
    </row>
    <row r="15" spans="1:43" x14ac:dyDescent="0.25">
      <c r="A15" s="156">
        <v>8</v>
      </c>
      <c r="B15" s="157" t="s">
        <v>11</v>
      </c>
      <c r="C15" s="259">
        <v>0</v>
      </c>
      <c r="D15" s="266">
        <v>5.2</v>
      </c>
      <c r="E15" s="260">
        <f>[4]Oktober!E15+[3]Oktober!O13</f>
        <v>190</v>
      </c>
      <c r="F15" s="87">
        <f t="shared" si="0"/>
        <v>195.2</v>
      </c>
      <c r="G15" s="266">
        <v>13.6</v>
      </c>
      <c r="H15" s="266">
        <v>17.16</v>
      </c>
      <c r="I15" s="260">
        <f>[4]Oktober!I15+[3]Oktober!V13</f>
        <v>430</v>
      </c>
      <c r="J15" s="87">
        <f t="shared" si="1"/>
        <v>460.76</v>
      </c>
      <c r="K15" s="266">
        <v>19.2</v>
      </c>
      <c r="L15" s="266">
        <v>14.559999999999999</v>
      </c>
      <c r="M15" s="260">
        <f>[4]Oktober!M15</f>
        <v>70</v>
      </c>
      <c r="N15" s="87">
        <f t="shared" si="2"/>
        <v>103.75999999999999</v>
      </c>
      <c r="O15" s="266">
        <v>16.8</v>
      </c>
      <c r="P15" s="266">
        <f>(((3.1+1)*1.3)*2)*2</f>
        <v>21.32</v>
      </c>
      <c r="Q15" s="260">
        <f>[4]Oktober!Q15+[3]Oktober!AC13</f>
        <v>875</v>
      </c>
      <c r="R15" s="87">
        <f t="shared" si="3"/>
        <v>913.12</v>
      </c>
      <c r="S15" s="259">
        <v>0</v>
      </c>
      <c r="T15" s="266">
        <f>(((2+1)*1.3)*2)*2</f>
        <v>15.600000000000001</v>
      </c>
      <c r="U15" s="260">
        <f>65+80</f>
        <v>145</v>
      </c>
      <c r="V15" s="87">
        <f t="shared" si="4"/>
        <v>160.6</v>
      </c>
      <c r="W15" s="259">
        <v>0</v>
      </c>
      <c r="X15" s="266">
        <f>(((3+1)*1.3)*2)*2</f>
        <v>20.8</v>
      </c>
      <c r="Y15" s="260">
        <f>[4]Oktober!Y15+[3]Oktober!AX13</f>
        <v>220</v>
      </c>
      <c r="Z15" s="87">
        <f t="shared" si="5"/>
        <v>240.8</v>
      </c>
      <c r="AA15" s="94">
        <f t="shared" si="12"/>
        <v>2074.2400000000002</v>
      </c>
      <c r="AB15" s="96" t="s">
        <v>53</v>
      </c>
      <c r="AC15" s="7"/>
      <c r="AD15" s="16">
        <v>8</v>
      </c>
      <c r="AE15" s="17" t="s">
        <v>11</v>
      </c>
      <c r="AF15" s="32">
        <f t="shared" si="6"/>
        <v>49.599999999999994</v>
      </c>
      <c r="AG15" s="32">
        <f t="shared" si="6"/>
        <v>94.64</v>
      </c>
      <c r="AH15" s="32">
        <f t="shared" si="7"/>
        <v>1930</v>
      </c>
      <c r="AI15" s="3"/>
      <c r="AJ15" s="35">
        <v>8</v>
      </c>
      <c r="AK15" s="36" t="s">
        <v>11</v>
      </c>
      <c r="AL15" s="38">
        <f t="shared" si="8"/>
        <v>49.599999999999994</v>
      </c>
      <c r="AM15" s="39">
        <f t="shared" si="9"/>
        <v>2.3912372724467751E-2</v>
      </c>
      <c r="AN15" s="38">
        <f t="shared" si="13"/>
        <v>94.64</v>
      </c>
      <c r="AO15" s="39">
        <f t="shared" si="10"/>
        <v>4.5626349892008637E-2</v>
      </c>
      <c r="AP15" s="38">
        <f t="shared" si="14"/>
        <v>1930</v>
      </c>
      <c r="AQ15" s="39">
        <f t="shared" si="11"/>
        <v>0.93046127738352347</v>
      </c>
    </row>
    <row r="16" spans="1:43" x14ac:dyDescent="0.25">
      <c r="A16" s="156">
        <v>9</v>
      </c>
      <c r="B16" s="157" t="s">
        <v>12</v>
      </c>
      <c r="C16" s="259">
        <v>0</v>
      </c>
      <c r="D16" s="266">
        <f>(((1+1)*1.3)*2)*2</f>
        <v>10.4</v>
      </c>
      <c r="E16" s="260">
        <f>[4]Oktober!E16+[3]Oktober!O14</f>
        <v>235</v>
      </c>
      <c r="F16" s="87">
        <f t="shared" si="0"/>
        <v>245.4</v>
      </c>
      <c r="G16" s="266">
        <v>10.8</v>
      </c>
      <c r="H16" s="266">
        <f>(((4.2+1)*1.3)*2)*2</f>
        <v>27.040000000000003</v>
      </c>
      <c r="I16" s="260">
        <f>[4]Oktober!I16+[3]Oktober!V14</f>
        <v>425</v>
      </c>
      <c r="J16" s="87">
        <f t="shared" si="1"/>
        <v>462.84000000000003</v>
      </c>
      <c r="K16" s="266">
        <v>14.8</v>
      </c>
      <c r="L16" s="266">
        <v>6.24</v>
      </c>
      <c r="M16" s="260">
        <f>[4]Oktober!M16</f>
        <v>85</v>
      </c>
      <c r="N16" s="87">
        <f t="shared" si="2"/>
        <v>106.03999999999999</v>
      </c>
      <c r="O16" s="266">
        <v>14.8</v>
      </c>
      <c r="P16" s="266">
        <v>25.480000000000004</v>
      </c>
      <c r="Q16" s="260">
        <f>[4]Oktober!Q16+[3]Oktober!AC14</f>
        <v>875</v>
      </c>
      <c r="R16" s="87">
        <f t="shared" si="3"/>
        <v>915.28</v>
      </c>
      <c r="S16" s="259">
        <v>0</v>
      </c>
      <c r="T16" s="266">
        <f>(((2+2)*1.3)*2)*2</f>
        <v>20.8</v>
      </c>
      <c r="U16" s="260">
        <f>100+50</f>
        <v>150</v>
      </c>
      <c r="V16" s="87">
        <f t="shared" si="4"/>
        <v>170.8</v>
      </c>
      <c r="W16" s="259">
        <v>0</v>
      </c>
      <c r="X16" s="266">
        <v>15.600000000000001</v>
      </c>
      <c r="Y16" s="260">
        <f>[4]Oktober!Y16+[3]Oktober!AX14</f>
        <v>205</v>
      </c>
      <c r="Z16" s="87">
        <f t="shared" si="5"/>
        <v>220.6</v>
      </c>
      <c r="AA16" s="94">
        <f t="shared" si="12"/>
        <v>2120.96</v>
      </c>
      <c r="AB16" s="96" t="s">
        <v>53</v>
      </c>
      <c r="AC16" s="7"/>
      <c r="AD16" s="16">
        <v>9</v>
      </c>
      <c r="AE16" s="17" t="s">
        <v>12</v>
      </c>
      <c r="AF16" s="32">
        <f t="shared" si="6"/>
        <v>40.400000000000006</v>
      </c>
      <c r="AG16" s="32">
        <f t="shared" si="6"/>
        <v>105.56</v>
      </c>
      <c r="AH16" s="32">
        <f t="shared" si="7"/>
        <v>1975</v>
      </c>
      <c r="AI16" s="3"/>
      <c r="AJ16" s="35">
        <v>9</v>
      </c>
      <c r="AK16" s="36" t="s">
        <v>12</v>
      </c>
      <c r="AL16" s="38">
        <f t="shared" si="8"/>
        <v>40.400000000000006</v>
      </c>
      <c r="AM16" s="39">
        <f t="shared" si="9"/>
        <v>1.9047978273989141E-2</v>
      </c>
      <c r="AN16" s="38">
        <f t="shared" si="13"/>
        <v>105.56</v>
      </c>
      <c r="AO16" s="39">
        <f t="shared" si="10"/>
        <v>4.9769915509957754E-2</v>
      </c>
      <c r="AP16" s="38">
        <f t="shared" si="14"/>
        <v>1975</v>
      </c>
      <c r="AQ16" s="39">
        <f t="shared" si="11"/>
        <v>0.93118210621605313</v>
      </c>
    </row>
    <row r="17" spans="1:43" x14ac:dyDescent="0.25">
      <c r="A17" s="156">
        <v>10</v>
      </c>
      <c r="B17" s="157" t="s">
        <v>13</v>
      </c>
      <c r="C17" s="259">
        <v>0</v>
      </c>
      <c r="D17" s="266">
        <v>5.2</v>
      </c>
      <c r="E17" s="260">
        <f>[4]Oktober!E17+[3]Oktober!O15</f>
        <v>395</v>
      </c>
      <c r="F17" s="87">
        <f t="shared" si="0"/>
        <v>400.2</v>
      </c>
      <c r="G17" s="266">
        <v>10</v>
      </c>
      <c r="H17" s="266">
        <f>(((3.5+1)*1.3)*2)*2</f>
        <v>23.400000000000002</v>
      </c>
      <c r="I17" s="260">
        <f>[4]Oktober!I17+[3]Oktober!V15</f>
        <v>605</v>
      </c>
      <c r="J17" s="87">
        <f t="shared" si="1"/>
        <v>638.4</v>
      </c>
      <c r="K17" s="266">
        <v>16.399999999999999</v>
      </c>
      <c r="L17" s="266">
        <v>13</v>
      </c>
      <c r="M17" s="260">
        <f>[4]Oktober!M17</f>
        <v>190</v>
      </c>
      <c r="N17" s="87">
        <f t="shared" si="2"/>
        <v>219.4</v>
      </c>
      <c r="O17" s="266">
        <v>14</v>
      </c>
      <c r="P17" s="266">
        <f>(((4.6+2)*1.3)*2)*2</f>
        <v>34.32</v>
      </c>
      <c r="Q17" s="260">
        <f>[4]Oktober!Q17+[3]Oktober!AC15</f>
        <v>985</v>
      </c>
      <c r="R17" s="87">
        <f t="shared" si="3"/>
        <v>1033.32</v>
      </c>
      <c r="S17" s="259">
        <v>0</v>
      </c>
      <c r="T17" s="266">
        <f>(((2+1)*1.3)*2)*2</f>
        <v>15.600000000000001</v>
      </c>
      <c r="U17" s="260">
        <f>125+100</f>
        <v>225</v>
      </c>
      <c r="V17" s="87">
        <f t="shared" si="4"/>
        <v>240.6</v>
      </c>
      <c r="W17" s="259">
        <v>0</v>
      </c>
      <c r="X17" s="266">
        <f>(((1+1)*1.3)*2)*2</f>
        <v>10.4</v>
      </c>
      <c r="Y17" s="260">
        <f>[4]Oktober!Y17+[3]Oktober!AX15</f>
        <v>250</v>
      </c>
      <c r="Z17" s="87">
        <f t="shared" si="5"/>
        <v>260.39999999999998</v>
      </c>
      <c r="AA17" s="94">
        <f t="shared" si="12"/>
        <v>2792.3199999999997</v>
      </c>
      <c r="AB17" s="96" t="s">
        <v>53</v>
      </c>
      <c r="AC17" s="7"/>
      <c r="AD17" s="16">
        <v>10</v>
      </c>
      <c r="AE17" s="17" t="s">
        <v>13</v>
      </c>
      <c r="AF17" s="32">
        <f>(C17+G17+K17+O17+S17+W17)</f>
        <v>40.4</v>
      </c>
      <c r="AG17" s="32">
        <f>(D17+H17+L17+P17+T17+X17)</f>
        <v>101.92000000000002</v>
      </c>
      <c r="AH17" s="32">
        <f>(E17+I17+M17+Q17++U17+Y17)</f>
        <v>2650</v>
      </c>
      <c r="AI17" s="3"/>
      <c r="AJ17" s="35">
        <v>10</v>
      </c>
      <c r="AK17" s="36" t="s">
        <v>13</v>
      </c>
      <c r="AL17" s="38">
        <f t="shared" si="8"/>
        <v>40.4</v>
      </c>
      <c r="AM17" s="39">
        <f t="shared" si="9"/>
        <v>1.4468255787302316E-2</v>
      </c>
      <c r="AN17" s="38">
        <f t="shared" si="13"/>
        <v>101.92000000000002</v>
      </c>
      <c r="AO17" s="39">
        <f t="shared" si="10"/>
        <v>3.6500114600045847E-2</v>
      </c>
      <c r="AP17" s="38">
        <f t="shared" si="14"/>
        <v>2650</v>
      </c>
      <c r="AQ17" s="39">
        <f t="shared" si="11"/>
        <v>0.94903162961265197</v>
      </c>
    </row>
    <row r="18" spans="1:43" x14ac:dyDescent="0.25">
      <c r="A18" s="156">
        <v>11</v>
      </c>
      <c r="B18" s="157" t="s">
        <v>14</v>
      </c>
      <c r="C18" s="259">
        <v>0</v>
      </c>
      <c r="D18" s="266">
        <f>(((1+1)*1.3)*2)*2</f>
        <v>10.4</v>
      </c>
      <c r="E18" s="260">
        <f>[4]Oktober!E18+[3]Oktober!O16</f>
        <v>210</v>
      </c>
      <c r="F18" s="87">
        <f t="shared" si="0"/>
        <v>220.4</v>
      </c>
      <c r="G18" s="266">
        <v>12.8</v>
      </c>
      <c r="H18" s="266">
        <f>(((4.5+1)*1.3)*2)*2</f>
        <v>28.6</v>
      </c>
      <c r="I18" s="260">
        <f>[4]Oktober!I18+[3]Oktober!V16</f>
        <v>640</v>
      </c>
      <c r="J18" s="87">
        <f t="shared" si="1"/>
        <v>681.4</v>
      </c>
      <c r="K18" s="266">
        <v>15.2</v>
      </c>
      <c r="L18" s="266">
        <v>4.16</v>
      </c>
      <c r="M18" s="260">
        <f>[4]Oktober!M18</f>
        <v>95</v>
      </c>
      <c r="N18" s="87">
        <f t="shared" si="2"/>
        <v>114.36</v>
      </c>
      <c r="O18" s="266">
        <v>12.4</v>
      </c>
      <c r="P18" s="266">
        <v>20.28</v>
      </c>
      <c r="Q18" s="260">
        <f>[4]Oktober!Q18+[3]Oktober!AC16</f>
        <v>1188</v>
      </c>
      <c r="R18" s="87">
        <f t="shared" si="3"/>
        <v>1220.68</v>
      </c>
      <c r="S18" s="259">
        <v>0</v>
      </c>
      <c r="T18" s="266">
        <v>10.4</v>
      </c>
      <c r="U18" s="260">
        <f>110+30</f>
        <v>140</v>
      </c>
      <c r="V18" s="87">
        <f t="shared" si="4"/>
        <v>150.4</v>
      </c>
      <c r="W18" s="259">
        <v>0</v>
      </c>
      <c r="X18" s="266">
        <v>5.2</v>
      </c>
      <c r="Y18" s="260">
        <f>[4]Oktober!Y18+[3]Oktober!AX16</f>
        <v>152</v>
      </c>
      <c r="Z18" s="87">
        <f t="shared" si="5"/>
        <v>157.19999999999999</v>
      </c>
      <c r="AA18" s="94">
        <f t="shared" si="12"/>
        <v>2544.44</v>
      </c>
      <c r="AB18" s="96" t="s">
        <v>53</v>
      </c>
      <c r="AC18" s="7"/>
      <c r="AD18" s="16">
        <v>11</v>
      </c>
      <c r="AE18" s="17" t="s">
        <v>14</v>
      </c>
      <c r="AF18" s="32">
        <f t="shared" ref="AF18:AG38" si="15">(C18+G18+K18+O18+S18+W18)</f>
        <v>40.4</v>
      </c>
      <c r="AG18" s="32">
        <f t="shared" si="15"/>
        <v>79.040000000000006</v>
      </c>
      <c r="AH18" s="32">
        <f t="shared" ref="AH18:AH38" si="16">(E18+I18+M18+Q18++U18+Y18)</f>
        <v>2425</v>
      </c>
      <c r="AI18" s="3"/>
      <c r="AJ18" s="35">
        <v>11</v>
      </c>
      <c r="AK18" s="36" t="s">
        <v>14</v>
      </c>
      <c r="AL18" s="38">
        <f t="shared" si="8"/>
        <v>40.4</v>
      </c>
      <c r="AM18" s="39">
        <f t="shared" si="9"/>
        <v>1.5877756991715269E-2</v>
      </c>
      <c r="AN18" s="38">
        <f t="shared" si="13"/>
        <v>79.040000000000006</v>
      </c>
      <c r="AO18" s="39">
        <f t="shared" si="10"/>
        <v>3.1063809718444926E-2</v>
      </c>
      <c r="AP18" s="38">
        <f t="shared" si="14"/>
        <v>2425</v>
      </c>
      <c r="AQ18" s="39">
        <f t="shared" si="11"/>
        <v>0.95305843328983975</v>
      </c>
    </row>
    <row r="19" spans="1:43" x14ac:dyDescent="0.25">
      <c r="A19" s="156">
        <v>12</v>
      </c>
      <c r="B19" s="157" t="s">
        <v>15</v>
      </c>
      <c r="C19" s="259">
        <v>0</v>
      </c>
      <c r="D19" s="266">
        <v>0</v>
      </c>
      <c r="E19" s="260">
        <f>[4]Oktober!E19+[3]Oktober!O17</f>
        <v>265</v>
      </c>
      <c r="F19" s="87">
        <f t="shared" si="0"/>
        <v>265</v>
      </c>
      <c r="G19" s="266">
        <v>0</v>
      </c>
      <c r="H19" s="266">
        <v>5.2</v>
      </c>
      <c r="I19" s="260">
        <f>[4]Oktober!I19+[3]Oktober!V17</f>
        <v>210</v>
      </c>
      <c r="J19" s="87">
        <f t="shared" si="1"/>
        <v>215.2</v>
      </c>
      <c r="K19" s="266">
        <v>13.6</v>
      </c>
      <c r="L19" s="266">
        <v>7.2799999999999994</v>
      </c>
      <c r="M19" s="260">
        <f>[4]Oktober!M19</f>
        <v>95</v>
      </c>
      <c r="N19" s="87">
        <f t="shared" si="2"/>
        <v>115.88</v>
      </c>
      <c r="O19" s="266">
        <v>11.6</v>
      </c>
      <c r="P19" s="266">
        <f>(((1.8+1)*1.3)*2)*2</f>
        <v>14.559999999999999</v>
      </c>
      <c r="Q19" s="260">
        <f>[4]Oktober!Q19+[3]Oktober!AC17</f>
        <v>245</v>
      </c>
      <c r="R19" s="87">
        <f t="shared" si="3"/>
        <v>271.15999999999997</v>
      </c>
      <c r="S19" s="259">
        <v>0</v>
      </c>
      <c r="T19" s="266">
        <v>0</v>
      </c>
      <c r="U19" s="260">
        <v>145</v>
      </c>
      <c r="V19" s="87">
        <f t="shared" si="4"/>
        <v>145</v>
      </c>
      <c r="W19" s="259">
        <v>0</v>
      </c>
      <c r="X19" s="266">
        <v>5.2</v>
      </c>
      <c r="Y19" s="260">
        <f>[4]Oktober!Y19+[3]Oktober!AX17</f>
        <v>220</v>
      </c>
      <c r="Z19" s="87">
        <f t="shared" si="5"/>
        <v>225.2</v>
      </c>
      <c r="AA19" s="94">
        <f t="shared" si="12"/>
        <v>1237.4399999999998</v>
      </c>
      <c r="AB19" s="96" t="s">
        <v>53</v>
      </c>
      <c r="AC19" s="7"/>
      <c r="AD19" s="16">
        <v>12</v>
      </c>
      <c r="AE19" s="17" t="s">
        <v>15</v>
      </c>
      <c r="AF19" s="32">
        <f t="shared" si="15"/>
        <v>25.2</v>
      </c>
      <c r="AG19" s="32">
        <f t="shared" si="15"/>
        <v>32.24</v>
      </c>
      <c r="AH19" s="32">
        <f t="shared" si="16"/>
        <v>1180</v>
      </c>
      <c r="AI19" s="3"/>
      <c r="AJ19" s="35">
        <v>12</v>
      </c>
      <c r="AK19" s="36" t="s">
        <v>15</v>
      </c>
      <c r="AL19" s="38">
        <f t="shared" si="8"/>
        <v>25.2</v>
      </c>
      <c r="AM19" s="39">
        <f t="shared" si="9"/>
        <v>2.0364623739332819E-2</v>
      </c>
      <c r="AN19" s="38">
        <f t="shared" si="13"/>
        <v>32.24</v>
      </c>
      <c r="AO19" s="39">
        <f t="shared" si="10"/>
        <v>2.6053788466511511E-2</v>
      </c>
      <c r="AP19" s="38">
        <f t="shared" si="14"/>
        <v>1180</v>
      </c>
      <c r="AQ19" s="39">
        <f t="shared" si="11"/>
        <v>0.9535815877941558</v>
      </c>
    </row>
    <row r="20" spans="1:43" x14ac:dyDescent="0.25">
      <c r="A20" s="156">
        <v>13</v>
      </c>
      <c r="B20" s="157" t="s">
        <v>16</v>
      </c>
      <c r="C20" s="259">
        <v>0</v>
      </c>
      <c r="D20" s="266">
        <v>0</v>
      </c>
      <c r="E20" s="260">
        <f>[4]Oktober!E20+[3]Oktober!O18</f>
        <v>20</v>
      </c>
      <c r="F20" s="87">
        <f t="shared" si="0"/>
        <v>20</v>
      </c>
      <c r="G20" s="266">
        <v>0</v>
      </c>
      <c r="H20" s="266">
        <v>0</v>
      </c>
      <c r="I20" s="260">
        <f>[4]Oktober!I20+[3]Oktober!V18</f>
        <v>100</v>
      </c>
      <c r="J20" s="87">
        <f t="shared" si="1"/>
        <v>100</v>
      </c>
      <c r="K20" s="266">
        <v>11.6</v>
      </c>
      <c r="L20" s="266">
        <v>6.24</v>
      </c>
      <c r="M20" s="260">
        <f>[4]Oktober!M20</f>
        <v>0</v>
      </c>
      <c r="N20" s="87">
        <f t="shared" si="2"/>
        <v>17.84</v>
      </c>
      <c r="O20" s="266">
        <v>16.399999999999999</v>
      </c>
      <c r="P20" s="266">
        <f>(((1.5+1)*1.3)*2)*2</f>
        <v>13</v>
      </c>
      <c r="Q20" s="260">
        <f>[4]Oktober!Q20+[3]Oktober!AC18</f>
        <v>220</v>
      </c>
      <c r="R20" s="87">
        <f t="shared" si="3"/>
        <v>249.4</v>
      </c>
      <c r="S20" s="259">
        <v>0</v>
      </c>
      <c r="T20" s="266">
        <v>5.2</v>
      </c>
      <c r="U20" s="260">
        <v>20</v>
      </c>
      <c r="V20" s="87">
        <f t="shared" si="4"/>
        <v>25.2</v>
      </c>
      <c r="W20" s="259">
        <v>0</v>
      </c>
      <c r="X20" s="266">
        <v>0</v>
      </c>
      <c r="Y20" s="260">
        <f>[4]Oktober!Y20+[3]Oktober!AX18</f>
        <v>0</v>
      </c>
      <c r="Z20" s="87">
        <f t="shared" si="5"/>
        <v>0</v>
      </c>
      <c r="AA20" s="94">
        <f t="shared" si="12"/>
        <v>412.44</v>
      </c>
      <c r="AB20" s="96" t="s">
        <v>53</v>
      </c>
      <c r="AC20" s="7"/>
      <c r="AD20" s="16">
        <v>13</v>
      </c>
      <c r="AE20" s="17" t="s">
        <v>16</v>
      </c>
      <c r="AF20" s="32">
        <f t="shared" si="15"/>
        <v>28</v>
      </c>
      <c r="AG20" s="32">
        <f t="shared" si="15"/>
        <v>24.44</v>
      </c>
      <c r="AH20" s="32">
        <f t="shared" si="16"/>
        <v>360</v>
      </c>
      <c r="AI20" s="3"/>
      <c r="AJ20" s="35">
        <v>13</v>
      </c>
      <c r="AK20" s="36" t="s">
        <v>16</v>
      </c>
      <c r="AL20" s="38">
        <f t="shared" si="8"/>
        <v>28</v>
      </c>
      <c r="AM20" s="39">
        <f t="shared" si="9"/>
        <v>6.7888662593346916E-2</v>
      </c>
      <c r="AN20" s="38">
        <f t="shared" si="13"/>
        <v>24.44</v>
      </c>
      <c r="AO20" s="39">
        <f t="shared" si="10"/>
        <v>5.9257104063621377E-2</v>
      </c>
      <c r="AP20" s="38">
        <f t="shared" si="14"/>
        <v>360</v>
      </c>
      <c r="AQ20" s="39">
        <f t="shared" si="11"/>
        <v>0.87285423334303169</v>
      </c>
    </row>
    <row r="21" spans="1:43" x14ac:dyDescent="0.25">
      <c r="A21" s="156">
        <v>14</v>
      </c>
      <c r="B21" s="157" t="s">
        <v>17</v>
      </c>
      <c r="C21" s="259">
        <v>0</v>
      </c>
      <c r="D21" s="266">
        <v>5.2</v>
      </c>
      <c r="E21" s="260">
        <f>[4]Oktober!E21+[3]Oktober!O19</f>
        <v>267</v>
      </c>
      <c r="F21" s="87">
        <f t="shared" si="0"/>
        <v>272.2</v>
      </c>
      <c r="G21" s="266">
        <v>16.8</v>
      </c>
      <c r="H21" s="266">
        <f>(((5.5+1)*1.3)*2)*2</f>
        <v>33.800000000000004</v>
      </c>
      <c r="I21" s="260">
        <f>[4]Oktober!I21+[3]Oktober!V19</f>
        <v>555</v>
      </c>
      <c r="J21" s="87">
        <f t="shared" si="1"/>
        <v>605.6</v>
      </c>
      <c r="K21" s="266">
        <v>11.6</v>
      </c>
      <c r="L21" s="266">
        <v>19.759999999999998</v>
      </c>
      <c r="M21" s="260">
        <f>[4]Oktober!M21</f>
        <v>85</v>
      </c>
      <c r="N21" s="87">
        <f t="shared" si="2"/>
        <v>116.36</v>
      </c>
      <c r="O21" s="266">
        <v>15.2</v>
      </c>
      <c r="P21" s="266">
        <v>31.72</v>
      </c>
      <c r="Q21" s="260">
        <f>[4]Oktober!Q21+[3]Oktober!AC19</f>
        <v>1060</v>
      </c>
      <c r="R21" s="87">
        <f t="shared" si="3"/>
        <v>1106.92</v>
      </c>
      <c r="S21" s="259">
        <v>0</v>
      </c>
      <c r="T21" s="266">
        <v>5.2</v>
      </c>
      <c r="U21" s="260">
        <f>118+70</f>
        <v>188</v>
      </c>
      <c r="V21" s="87">
        <f t="shared" si="4"/>
        <v>193.2</v>
      </c>
      <c r="W21" s="259">
        <v>0</v>
      </c>
      <c r="X21" s="266">
        <v>5.2</v>
      </c>
      <c r="Y21" s="260">
        <f>[4]Oktober!Y21+[3]Oktober!AX19</f>
        <v>175</v>
      </c>
      <c r="Z21" s="87">
        <f t="shared" si="5"/>
        <v>180.2</v>
      </c>
      <c r="AA21" s="94">
        <f t="shared" si="12"/>
        <v>2474.4799999999996</v>
      </c>
      <c r="AB21" s="96" t="s">
        <v>53</v>
      </c>
      <c r="AC21" s="7"/>
      <c r="AD21" s="16">
        <v>14</v>
      </c>
      <c r="AE21" s="17" t="s">
        <v>17</v>
      </c>
      <c r="AF21" s="32">
        <f t="shared" si="15"/>
        <v>43.599999999999994</v>
      </c>
      <c r="AG21" s="32">
        <f t="shared" si="15"/>
        <v>100.88000000000001</v>
      </c>
      <c r="AH21" s="32">
        <f t="shared" si="16"/>
        <v>2330</v>
      </c>
      <c r="AI21" s="3"/>
      <c r="AJ21" s="35">
        <v>14</v>
      </c>
      <c r="AK21" s="36" t="s">
        <v>17</v>
      </c>
      <c r="AL21" s="38">
        <f t="shared" si="8"/>
        <v>43.599999999999994</v>
      </c>
      <c r="AM21" s="39">
        <f t="shared" si="9"/>
        <v>1.7619863567294947E-2</v>
      </c>
      <c r="AN21" s="38">
        <f t="shared" si="13"/>
        <v>100.88000000000001</v>
      </c>
      <c r="AO21" s="39">
        <f t="shared" si="10"/>
        <v>4.076816139148428E-2</v>
      </c>
      <c r="AP21" s="38">
        <f t="shared" si="14"/>
        <v>2330</v>
      </c>
      <c r="AQ21" s="39">
        <f t="shared" si="11"/>
        <v>0.94161197504122096</v>
      </c>
    </row>
    <row r="22" spans="1:43" x14ac:dyDescent="0.25">
      <c r="A22" s="156">
        <v>15</v>
      </c>
      <c r="B22" s="157" t="s">
        <v>18</v>
      </c>
      <c r="C22" s="259">
        <v>0</v>
      </c>
      <c r="D22" s="266">
        <v>8.32</v>
      </c>
      <c r="E22" s="260">
        <f>[4]Oktober!E22+[3]Oktober!O20</f>
        <v>160</v>
      </c>
      <c r="F22" s="87">
        <f t="shared" si="0"/>
        <v>168.32</v>
      </c>
      <c r="G22" s="266">
        <v>10.8</v>
      </c>
      <c r="H22" s="266">
        <v>17.16</v>
      </c>
      <c r="I22" s="260">
        <f>[4]Oktober!I22+[3]Oktober!V20</f>
        <v>470</v>
      </c>
      <c r="J22" s="87">
        <f t="shared" si="1"/>
        <v>497.96</v>
      </c>
      <c r="K22" s="266">
        <v>14</v>
      </c>
      <c r="L22" s="266">
        <v>7.8000000000000007</v>
      </c>
      <c r="M22" s="260">
        <f>[4]Oktober!M22</f>
        <v>120</v>
      </c>
      <c r="N22" s="87">
        <f t="shared" si="2"/>
        <v>141.80000000000001</v>
      </c>
      <c r="O22" s="266">
        <v>14.8</v>
      </c>
      <c r="P22" s="266">
        <f>(((1.7+1)*1.3)*2)*2</f>
        <v>14.040000000000001</v>
      </c>
      <c r="Q22" s="260">
        <f>[4]Oktober!Q22+[3]Oktober!AC20</f>
        <v>398</v>
      </c>
      <c r="R22" s="87">
        <f t="shared" si="3"/>
        <v>426.84000000000003</v>
      </c>
      <c r="S22" s="259">
        <v>0</v>
      </c>
      <c r="T22" s="266">
        <v>10.4</v>
      </c>
      <c r="U22" s="260">
        <f>20+10</f>
        <v>30</v>
      </c>
      <c r="V22" s="87">
        <f t="shared" si="4"/>
        <v>40.4</v>
      </c>
      <c r="W22" s="259">
        <v>0</v>
      </c>
      <c r="X22" s="266">
        <v>0</v>
      </c>
      <c r="Y22" s="260">
        <f>[4]Oktober!Y22+[3]Oktober!AX20</f>
        <v>185</v>
      </c>
      <c r="Z22" s="87">
        <f t="shared" si="5"/>
        <v>185</v>
      </c>
      <c r="AA22" s="94">
        <f t="shared" si="12"/>
        <v>1460.3200000000002</v>
      </c>
      <c r="AB22" s="96" t="s">
        <v>53</v>
      </c>
      <c r="AC22" s="7"/>
      <c r="AD22" s="16">
        <v>15</v>
      </c>
      <c r="AE22" s="17" t="s">
        <v>18</v>
      </c>
      <c r="AF22" s="32">
        <f t="shared" si="15"/>
        <v>39.6</v>
      </c>
      <c r="AG22" s="32">
        <f t="shared" si="15"/>
        <v>57.72</v>
      </c>
      <c r="AH22" s="32">
        <f t="shared" si="16"/>
        <v>1363</v>
      </c>
      <c r="AI22" s="3"/>
      <c r="AJ22" s="35">
        <v>15</v>
      </c>
      <c r="AK22" s="36" t="s">
        <v>18</v>
      </c>
      <c r="AL22" s="38">
        <f t="shared" si="8"/>
        <v>39.6</v>
      </c>
      <c r="AM22" s="39">
        <f t="shared" si="9"/>
        <v>2.7117344143749313E-2</v>
      </c>
      <c r="AN22" s="38">
        <f t="shared" si="13"/>
        <v>57.72</v>
      </c>
      <c r="AO22" s="39">
        <f t="shared" si="10"/>
        <v>3.9525583433767934E-2</v>
      </c>
      <c r="AP22" s="38">
        <f t="shared" si="14"/>
        <v>1363</v>
      </c>
      <c r="AQ22" s="39">
        <f t="shared" si="11"/>
        <v>0.93335707242248267</v>
      </c>
    </row>
    <row r="23" spans="1:43" x14ac:dyDescent="0.25">
      <c r="A23" s="156">
        <v>16</v>
      </c>
      <c r="B23" s="157" t="s">
        <v>19</v>
      </c>
      <c r="C23" s="259">
        <v>0</v>
      </c>
      <c r="D23" s="266">
        <f>(((1.6+1)*1.3)*2)*2</f>
        <v>13.520000000000001</v>
      </c>
      <c r="E23" s="260">
        <f>[4]Oktober!E23+[3]Oktober!O21</f>
        <v>207</v>
      </c>
      <c r="F23" s="87">
        <f t="shared" si="0"/>
        <v>220.52</v>
      </c>
      <c r="G23" s="266">
        <v>10</v>
      </c>
      <c r="H23" s="266">
        <f>(((1.1+2)*1.3)*2)*2</f>
        <v>16.12</v>
      </c>
      <c r="I23" s="260">
        <f>[4]Oktober!I23+[3]Oktober!V21</f>
        <v>720</v>
      </c>
      <c r="J23" s="87">
        <f t="shared" si="1"/>
        <v>746.12</v>
      </c>
      <c r="K23" s="266">
        <v>16.399999999999999</v>
      </c>
      <c r="L23" s="266">
        <v>15.600000000000001</v>
      </c>
      <c r="M23" s="260">
        <f>[4]Oktober!M23</f>
        <v>65</v>
      </c>
      <c r="N23" s="87">
        <f t="shared" si="2"/>
        <v>97</v>
      </c>
      <c r="O23" s="266">
        <v>16.8</v>
      </c>
      <c r="P23" s="266">
        <f>(((3.6+1)*1.3)*2)*2</f>
        <v>23.919999999999998</v>
      </c>
      <c r="Q23" s="260">
        <f>[4]Oktober!Q23+[3]Oktober!AC21</f>
        <v>1015</v>
      </c>
      <c r="R23" s="87">
        <f t="shared" si="3"/>
        <v>1055.72</v>
      </c>
      <c r="S23" s="259">
        <v>0</v>
      </c>
      <c r="T23" s="266">
        <v>5.2</v>
      </c>
      <c r="U23" s="260">
        <v>35</v>
      </c>
      <c r="V23" s="87">
        <f t="shared" si="4"/>
        <v>40.200000000000003</v>
      </c>
      <c r="W23" s="259">
        <v>0</v>
      </c>
      <c r="X23" s="266">
        <v>0</v>
      </c>
      <c r="Y23" s="260">
        <f>[4]Oktober!Y23+[3]Oktober!AX21</f>
        <v>70</v>
      </c>
      <c r="Z23" s="87">
        <f t="shared" si="5"/>
        <v>70</v>
      </c>
      <c r="AA23" s="94">
        <f t="shared" si="12"/>
        <v>2229.5599999999995</v>
      </c>
      <c r="AB23" s="96" t="s">
        <v>53</v>
      </c>
      <c r="AC23" s="7"/>
      <c r="AD23" s="16">
        <v>16</v>
      </c>
      <c r="AE23" s="17" t="s">
        <v>19</v>
      </c>
      <c r="AF23" s="32">
        <f t="shared" si="15"/>
        <v>43.2</v>
      </c>
      <c r="AG23" s="32">
        <f t="shared" si="15"/>
        <v>74.36</v>
      </c>
      <c r="AH23" s="32">
        <f t="shared" si="16"/>
        <v>2112</v>
      </c>
      <c r="AI23" s="3"/>
      <c r="AJ23" s="35">
        <v>16</v>
      </c>
      <c r="AK23" s="36" t="s">
        <v>19</v>
      </c>
      <c r="AL23" s="38">
        <f t="shared" si="8"/>
        <v>43.2</v>
      </c>
      <c r="AM23" s="39">
        <f t="shared" si="9"/>
        <v>1.9376020380702925E-2</v>
      </c>
      <c r="AN23" s="38">
        <f t="shared" si="13"/>
        <v>74.36</v>
      </c>
      <c r="AO23" s="39">
        <f t="shared" si="10"/>
        <v>3.3351872118265492E-2</v>
      </c>
      <c r="AP23" s="38">
        <f t="shared" si="14"/>
        <v>2112</v>
      </c>
      <c r="AQ23" s="39">
        <f t="shared" si="11"/>
        <v>0.94727210750103186</v>
      </c>
    </row>
    <row r="24" spans="1:43" x14ac:dyDescent="0.25">
      <c r="A24" s="156">
        <v>17</v>
      </c>
      <c r="B24" s="157" t="s">
        <v>20</v>
      </c>
      <c r="C24" s="259">
        <v>0</v>
      </c>
      <c r="D24" s="266">
        <v>0</v>
      </c>
      <c r="E24" s="260">
        <f>[4]Oktober!E24+[3]Oktober!O22</f>
        <v>135</v>
      </c>
      <c r="F24" s="87">
        <f t="shared" si="0"/>
        <v>135</v>
      </c>
      <c r="G24" s="266">
        <v>13.2</v>
      </c>
      <c r="H24" s="266">
        <v>14.040000000000001</v>
      </c>
      <c r="I24" s="260">
        <f>[4]Oktober!I24+[3]Oktober!V22</f>
        <v>620</v>
      </c>
      <c r="J24" s="87">
        <f t="shared" si="1"/>
        <v>647.24</v>
      </c>
      <c r="K24" s="266">
        <v>14.8</v>
      </c>
      <c r="L24" s="266">
        <v>10.920000000000002</v>
      </c>
      <c r="M24" s="260">
        <f>[4]Oktober!M24</f>
        <v>100</v>
      </c>
      <c r="N24" s="87">
        <f t="shared" si="2"/>
        <v>125.72</v>
      </c>
      <c r="O24" s="266">
        <v>15.6</v>
      </c>
      <c r="P24" s="266">
        <v>15.08</v>
      </c>
      <c r="Q24" s="260">
        <f>[4]Oktober!Q24+[3]Oktober!AC22</f>
        <v>875</v>
      </c>
      <c r="R24" s="87">
        <f t="shared" si="3"/>
        <v>905.68</v>
      </c>
      <c r="S24" s="259">
        <v>0</v>
      </c>
      <c r="T24" s="266">
        <v>15.600000000000001</v>
      </c>
      <c r="U24" s="260">
        <v>50</v>
      </c>
      <c r="V24" s="87">
        <f t="shared" si="4"/>
        <v>65.599999999999994</v>
      </c>
      <c r="W24" s="259">
        <v>0</v>
      </c>
      <c r="X24" s="266">
        <v>5.2</v>
      </c>
      <c r="Y24" s="260">
        <f>[4]Oktober!Y24+[3]Oktober!AX22</f>
        <v>100</v>
      </c>
      <c r="Z24" s="87">
        <f t="shared" si="5"/>
        <v>105.2</v>
      </c>
      <c r="AA24" s="94">
        <f t="shared" si="12"/>
        <v>1984.4399999999998</v>
      </c>
      <c r="AB24" s="96" t="s">
        <v>53</v>
      </c>
      <c r="AC24" s="7"/>
      <c r="AD24" s="16">
        <v>17</v>
      </c>
      <c r="AE24" s="17" t="s">
        <v>20</v>
      </c>
      <c r="AF24" s="32">
        <f t="shared" si="15"/>
        <v>43.6</v>
      </c>
      <c r="AG24" s="32">
        <f t="shared" si="15"/>
        <v>60.84</v>
      </c>
      <c r="AH24" s="32">
        <f t="shared" si="16"/>
        <v>1880</v>
      </c>
      <c r="AI24" s="3"/>
      <c r="AJ24" s="35">
        <v>17</v>
      </c>
      <c r="AK24" s="36" t="s">
        <v>20</v>
      </c>
      <c r="AL24" s="38">
        <f t="shared" si="8"/>
        <v>43.6</v>
      </c>
      <c r="AM24" s="39">
        <f t="shared" si="9"/>
        <v>2.1970933865473385E-2</v>
      </c>
      <c r="AN24" s="38">
        <f t="shared" si="13"/>
        <v>60.84</v>
      </c>
      <c r="AO24" s="39">
        <f t="shared" si="10"/>
        <v>3.0658523311362405E-2</v>
      </c>
      <c r="AP24" s="38">
        <f t="shared" si="14"/>
        <v>1880</v>
      </c>
      <c r="AQ24" s="39">
        <f t="shared" si="11"/>
        <v>0.94737054282316435</v>
      </c>
    </row>
    <row r="25" spans="1:43" x14ac:dyDescent="0.25">
      <c r="A25" s="156">
        <v>18</v>
      </c>
      <c r="B25" s="157" t="s">
        <v>21</v>
      </c>
      <c r="C25" s="259">
        <v>0</v>
      </c>
      <c r="D25" s="266">
        <f>(((2.1+1)*1.3)*2)*2</f>
        <v>16.12</v>
      </c>
      <c r="E25" s="260">
        <f>[4]Oktober!E25+[3]Oktober!O23</f>
        <v>175</v>
      </c>
      <c r="F25" s="87">
        <f t="shared" si="0"/>
        <v>191.12</v>
      </c>
      <c r="G25" s="266">
        <v>11.6</v>
      </c>
      <c r="H25" s="266">
        <f>(((3.6+1)*1.3)*2)*2</f>
        <v>23.919999999999998</v>
      </c>
      <c r="I25" s="260">
        <f>[4]Oktober!I25+[3]Oktober!V23</f>
        <v>405</v>
      </c>
      <c r="J25" s="87">
        <f t="shared" si="1"/>
        <v>440.52</v>
      </c>
      <c r="K25" s="266">
        <v>10.8</v>
      </c>
      <c r="L25" s="266">
        <v>4.6800000000000006</v>
      </c>
      <c r="M25" s="260">
        <f>[4]Oktober!M25</f>
        <v>75</v>
      </c>
      <c r="N25" s="87">
        <f t="shared" si="2"/>
        <v>90.48</v>
      </c>
      <c r="O25" s="266">
        <v>21.2</v>
      </c>
      <c r="P25" s="266">
        <f>(((0.9+1)*1.3)*2)*2</f>
        <v>9.879999999999999</v>
      </c>
      <c r="Q25" s="260">
        <f>[4]Oktober!Q25+[3]Oktober!AC23</f>
        <v>790</v>
      </c>
      <c r="R25" s="87">
        <f t="shared" si="3"/>
        <v>821.08</v>
      </c>
      <c r="S25" s="259">
        <v>0</v>
      </c>
      <c r="T25" s="266">
        <v>10.4</v>
      </c>
      <c r="U25" s="260">
        <f>70+10</f>
        <v>80</v>
      </c>
      <c r="V25" s="87">
        <f t="shared" si="4"/>
        <v>90.4</v>
      </c>
      <c r="W25" s="259">
        <v>0</v>
      </c>
      <c r="X25" s="266">
        <v>0</v>
      </c>
      <c r="Y25" s="260">
        <f>[4]Oktober!Y25+[3]Oktober!AX23</f>
        <v>160</v>
      </c>
      <c r="Z25" s="87">
        <f t="shared" si="5"/>
        <v>160</v>
      </c>
      <c r="AA25" s="94">
        <f t="shared" si="12"/>
        <v>1793.6000000000001</v>
      </c>
      <c r="AB25" s="96" t="s">
        <v>53</v>
      </c>
      <c r="AC25" s="7"/>
      <c r="AD25" s="16">
        <v>18</v>
      </c>
      <c r="AE25" s="17" t="s">
        <v>21</v>
      </c>
      <c r="AF25" s="32">
        <f t="shared" si="15"/>
        <v>43.599999999999994</v>
      </c>
      <c r="AG25" s="32">
        <f t="shared" si="15"/>
        <v>65</v>
      </c>
      <c r="AH25" s="32">
        <f t="shared" si="16"/>
        <v>1685</v>
      </c>
      <c r="AI25" s="3"/>
      <c r="AJ25" s="35">
        <v>18</v>
      </c>
      <c r="AK25" s="36" t="s">
        <v>21</v>
      </c>
      <c r="AL25" s="38">
        <f t="shared" si="8"/>
        <v>43.599999999999994</v>
      </c>
      <c r="AM25" s="39">
        <f t="shared" si="9"/>
        <v>2.4308652988403207E-2</v>
      </c>
      <c r="AN25" s="38">
        <f t="shared" si="13"/>
        <v>65</v>
      </c>
      <c r="AO25" s="39">
        <f t="shared" si="10"/>
        <v>3.6239964317573592E-2</v>
      </c>
      <c r="AP25" s="38">
        <f t="shared" si="14"/>
        <v>1685</v>
      </c>
      <c r="AQ25" s="39">
        <f t="shared" si="11"/>
        <v>0.93945138269402317</v>
      </c>
    </row>
    <row r="26" spans="1:43" x14ac:dyDescent="0.25">
      <c r="A26" s="156">
        <v>19</v>
      </c>
      <c r="B26" s="157" t="s">
        <v>22</v>
      </c>
      <c r="C26" s="259">
        <v>0</v>
      </c>
      <c r="D26" s="266">
        <v>0</v>
      </c>
      <c r="E26" s="260">
        <f>[4]Oktober!E26+[3]Oktober!O24</f>
        <v>50</v>
      </c>
      <c r="F26" s="87">
        <f t="shared" si="0"/>
        <v>50</v>
      </c>
      <c r="G26" s="266">
        <v>0</v>
      </c>
      <c r="H26" s="266">
        <v>0</v>
      </c>
      <c r="I26" s="260">
        <f>[4]Oktober!I26+[3]Oktober!V24</f>
        <v>50</v>
      </c>
      <c r="J26" s="87">
        <f t="shared" si="1"/>
        <v>50</v>
      </c>
      <c r="K26" s="266">
        <v>12.4</v>
      </c>
      <c r="L26" s="266">
        <v>10.920000000000002</v>
      </c>
      <c r="M26" s="260">
        <f>[4]Oktober!M26</f>
        <v>0</v>
      </c>
      <c r="N26" s="87">
        <f t="shared" si="2"/>
        <v>23.32</v>
      </c>
      <c r="O26" s="266">
        <v>18.8</v>
      </c>
      <c r="P26" s="266">
        <v>19.240000000000002</v>
      </c>
      <c r="Q26" s="260">
        <f>[4]Oktober!Q26+[3]Oktober!AC24</f>
        <v>100</v>
      </c>
      <c r="R26" s="87">
        <f t="shared" si="3"/>
        <v>138.04000000000002</v>
      </c>
      <c r="S26" s="259">
        <v>0</v>
      </c>
      <c r="T26" s="266">
        <v>0</v>
      </c>
      <c r="U26" s="260">
        <v>50</v>
      </c>
      <c r="V26" s="87">
        <f t="shared" si="4"/>
        <v>50</v>
      </c>
      <c r="W26" s="259">
        <v>0</v>
      </c>
      <c r="X26" s="266">
        <v>0</v>
      </c>
      <c r="Y26" s="260">
        <f>[4]Oktober!Y26+[3]Oktober!AX24</f>
        <v>70</v>
      </c>
      <c r="Z26" s="87">
        <f t="shared" si="5"/>
        <v>70</v>
      </c>
      <c r="AA26" s="94">
        <f t="shared" si="12"/>
        <v>381.36</v>
      </c>
      <c r="AB26" s="96" t="s">
        <v>53</v>
      </c>
      <c r="AC26" s="7"/>
      <c r="AD26" s="16">
        <v>19</v>
      </c>
      <c r="AE26" s="17" t="s">
        <v>22</v>
      </c>
      <c r="AF26" s="32">
        <f t="shared" si="15"/>
        <v>31.200000000000003</v>
      </c>
      <c r="AG26" s="32">
        <f t="shared" si="15"/>
        <v>30.160000000000004</v>
      </c>
      <c r="AH26" s="32">
        <f t="shared" si="16"/>
        <v>320</v>
      </c>
      <c r="AI26" s="3"/>
      <c r="AJ26" s="35">
        <v>19</v>
      </c>
      <c r="AK26" s="36" t="s">
        <v>22</v>
      </c>
      <c r="AL26" s="38">
        <f t="shared" si="8"/>
        <v>31.200000000000003</v>
      </c>
      <c r="AM26" s="39">
        <f t="shared" si="9"/>
        <v>8.1812460667086223E-2</v>
      </c>
      <c r="AN26" s="38">
        <f t="shared" si="13"/>
        <v>30.160000000000004</v>
      </c>
      <c r="AO26" s="39">
        <f t="shared" si="10"/>
        <v>7.9085378644850018E-2</v>
      </c>
      <c r="AP26" s="38">
        <f t="shared" si="14"/>
        <v>320</v>
      </c>
      <c r="AQ26" s="39">
        <f t="shared" si="11"/>
        <v>0.83910216068806376</v>
      </c>
    </row>
    <row r="27" spans="1:43" x14ac:dyDescent="0.25">
      <c r="A27" s="156">
        <v>20</v>
      </c>
      <c r="B27" s="157" t="s">
        <v>23</v>
      </c>
      <c r="C27" s="259">
        <v>0</v>
      </c>
      <c r="D27" s="266">
        <v>0</v>
      </c>
      <c r="E27" s="260">
        <f>[4]Oktober!E27+[3]Oktober!O25</f>
        <v>0</v>
      </c>
      <c r="F27" s="87">
        <f t="shared" si="0"/>
        <v>0</v>
      </c>
      <c r="G27" s="266">
        <v>0</v>
      </c>
      <c r="H27" s="266">
        <v>0</v>
      </c>
      <c r="I27" s="260">
        <f>[4]Oktober!I27+[3]Oktober!V25</f>
        <v>0</v>
      </c>
      <c r="J27" s="87">
        <f t="shared" si="1"/>
        <v>0</v>
      </c>
      <c r="K27" s="266">
        <v>11.2</v>
      </c>
      <c r="L27" s="266">
        <v>10.920000000000002</v>
      </c>
      <c r="M27" s="260">
        <f>[4]Oktober!M27</f>
        <v>0</v>
      </c>
      <c r="N27" s="87">
        <f t="shared" si="2"/>
        <v>22.12</v>
      </c>
      <c r="O27" s="266">
        <v>12.8</v>
      </c>
      <c r="P27" s="266">
        <f>(((2.5+2)*1.3)*2)*2</f>
        <v>23.400000000000002</v>
      </c>
      <c r="Q27" s="260">
        <f>[4]Oktober!Q27+[3]Oktober!AC25</f>
        <v>0</v>
      </c>
      <c r="R27" s="87">
        <f t="shared" si="3"/>
        <v>36.200000000000003</v>
      </c>
      <c r="S27" s="259">
        <v>0</v>
      </c>
      <c r="T27" s="266">
        <v>0</v>
      </c>
      <c r="U27" s="260"/>
      <c r="V27" s="87">
        <f t="shared" si="4"/>
        <v>0</v>
      </c>
      <c r="W27" s="259">
        <v>0</v>
      </c>
      <c r="X27" s="266">
        <v>0</v>
      </c>
      <c r="Y27" s="260">
        <f>[4]Oktober!Y27+[3]Oktober!AX25</f>
        <v>0</v>
      </c>
      <c r="Z27" s="87">
        <f t="shared" si="5"/>
        <v>0</v>
      </c>
      <c r="AA27" s="94">
        <f t="shared" si="12"/>
        <v>58.320000000000007</v>
      </c>
      <c r="AB27" s="96" t="s">
        <v>53</v>
      </c>
      <c r="AC27" s="7"/>
      <c r="AD27" s="16">
        <v>20</v>
      </c>
      <c r="AE27" s="17" t="s">
        <v>23</v>
      </c>
      <c r="AF27" s="32">
        <f t="shared" si="15"/>
        <v>24</v>
      </c>
      <c r="AG27" s="32">
        <f t="shared" si="15"/>
        <v>34.320000000000007</v>
      </c>
      <c r="AH27" s="32">
        <f t="shared" si="16"/>
        <v>0</v>
      </c>
      <c r="AI27" s="3"/>
      <c r="AJ27" s="35">
        <v>20</v>
      </c>
      <c r="AK27" s="36" t="s">
        <v>23</v>
      </c>
      <c r="AL27" s="38">
        <f t="shared" si="8"/>
        <v>24</v>
      </c>
      <c r="AM27" s="39">
        <f t="shared" si="9"/>
        <v>0.41152263374485593</v>
      </c>
      <c r="AN27" s="38">
        <f t="shared" si="13"/>
        <v>34.320000000000007</v>
      </c>
      <c r="AO27" s="39">
        <f t="shared" si="10"/>
        <v>0.58847736625514413</v>
      </c>
      <c r="AP27" s="38">
        <f t="shared" si="14"/>
        <v>0</v>
      </c>
      <c r="AQ27" s="39">
        <f t="shared" si="11"/>
        <v>0</v>
      </c>
    </row>
    <row r="28" spans="1:43" x14ac:dyDescent="0.25">
      <c r="A28" s="156">
        <v>21</v>
      </c>
      <c r="B28" s="157" t="s">
        <v>24</v>
      </c>
      <c r="C28" s="259">
        <v>0</v>
      </c>
      <c r="D28" s="266">
        <f>(((1.4+1)*1.3)*2)*2</f>
        <v>12.48</v>
      </c>
      <c r="E28" s="260">
        <f>[4]Oktober!E28+[3]Oktober!O26</f>
        <v>210</v>
      </c>
      <c r="F28" s="87">
        <f t="shared" si="0"/>
        <v>222.48</v>
      </c>
      <c r="G28" s="266">
        <v>17.2</v>
      </c>
      <c r="H28" s="266">
        <f>(((4.6+1)*1.3)*2)*2</f>
        <v>29.119999999999997</v>
      </c>
      <c r="I28" s="260">
        <f>[4]Oktober!I28+[3]Oktober!V26</f>
        <v>300</v>
      </c>
      <c r="J28" s="87">
        <f t="shared" si="1"/>
        <v>346.32</v>
      </c>
      <c r="K28" s="266">
        <v>12.8</v>
      </c>
      <c r="L28" s="266">
        <v>20.28</v>
      </c>
      <c r="M28" s="260">
        <f>[4]Oktober!M28</f>
        <v>85</v>
      </c>
      <c r="N28" s="87">
        <f t="shared" si="2"/>
        <v>118.08</v>
      </c>
      <c r="O28" s="266">
        <v>14.8</v>
      </c>
      <c r="P28" s="266">
        <v>22.880000000000003</v>
      </c>
      <c r="Q28" s="260">
        <f>[4]Oktober!Q28+[3]Oktober!AC26</f>
        <v>620</v>
      </c>
      <c r="R28" s="87">
        <f t="shared" si="3"/>
        <v>657.68000000000006</v>
      </c>
      <c r="S28" s="259">
        <v>0</v>
      </c>
      <c r="T28" s="266">
        <v>10.4</v>
      </c>
      <c r="U28" s="260">
        <f>55+20</f>
        <v>75</v>
      </c>
      <c r="V28" s="87">
        <f t="shared" si="4"/>
        <v>85.4</v>
      </c>
      <c r="W28" s="259">
        <v>0</v>
      </c>
      <c r="X28" s="266">
        <v>5.2</v>
      </c>
      <c r="Y28" s="260">
        <f>[4]Oktober!Y28+[3]Oktober!AX26</f>
        <v>120</v>
      </c>
      <c r="Z28" s="87">
        <f t="shared" si="5"/>
        <v>125.2</v>
      </c>
      <c r="AA28" s="94">
        <f t="shared" si="12"/>
        <v>1555.16</v>
      </c>
      <c r="AB28" s="96" t="s">
        <v>53</v>
      </c>
      <c r="AC28" s="7"/>
      <c r="AD28" s="16">
        <v>21</v>
      </c>
      <c r="AE28" s="17" t="s">
        <v>24</v>
      </c>
      <c r="AF28" s="32">
        <f t="shared" si="15"/>
        <v>44.8</v>
      </c>
      <c r="AG28" s="32">
        <f t="shared" si="15"/>
        <v>100.36</v>
      </c>
      <c r="AH28" s="32">
        <f t="shared" si="16"/>
        <v>1410</v>
      </c>
      <c r="AI28" s="3"/>
      <c r="AJ28" s="35">
        <v>21</v>
      </c>
      <c r="AK28" s="36" t="s">
        <v>24</v>
      </c>
      <c r="AL28" s="38">
        <f t="shared" si="8"/>
        <v>44.8</v>
      </c>
      <c r="AM28" s="39">
        <f t="shared" si="9"/>
        <v>2.8807325291288353E-2</v>
      </c>
      <c r="AN28" s="38">
        <f t="shared" si="13"/>
        <v>100.36</v>
      </c>
      <c r="AO28" s="39">
        <f t="shared" si="10"/>
        <v>6.45335528177165E-2</v>
      </c>
      <c r="AP28" s="38">
        <f t="shared" si="14"/>
        <v>1410</v>
      </c>
      <c r="AQ28" s="39">
        <f t="shared" si="11"/>
        <v>0.90665912189099507</v>
      </c>
    </row>
    <row r="29" spans="1:43" x14ac:dyDescent="0.25">
      <c r="A29" s="156">
        <v>22</v>
      </c>
      <c r="B29" s="157" t="s">
        <v>25</v>
      </c>
      <c r="C29" s="259">
        <v>0</v>
      </c>
      <c r="D29" s="266">
        <v>0</v>
      </c>
      <c r="E29" s="260">
        <f>[4]Oktober!E29+[3]Oktober!O27</f>
        <v>247</v>
      </c>
      <c r="F29" s="87">
        <f t="shared" si="0"/>
        <v>247</v>
      </c>
      <c r="G29" s="266">
        <v>14.8</v>
      </c>
      <c r="H29" s="266">
        <v>5.7200000000000006</v>
      </c>
      <c r="I29" s="260">
        <f>[4]Oktober!I29+[3]Oktober!V27</f>
        <v>380</v>
      </c>
      <c r="J29" s="87">
        <f t="shared" si="1"/>
        <v>400.52</v>
      </c>
      <c r="K29" s="266">
        <v>14.8</v>
      </c>
      <c r="L29" s="266">
        <v>14.559999999999999</v>
      </c>
      <c r="M29" s="260">
        <f>[4]Oktober!M29</f>
        <v>95</v>
      </c>
      <c r="N29" s="87">
        <f t="shared" si="2"/>
        <v>124.36</v>
      </c>
      <c r="O29" s="266">
        <v>16.399999999999999</v>
      </c>
      <c r="P29" s="266">
        <f>(((2.4+1)*1.3)*2)*2</f>
        <v>17.68</v>
      </c>
      <c r="Q29" s="260">
        <f>[4]Oktober!Q29+[3]Oktober!AC27</f>
        <v>895</v>
      </c>
      <c r="R29" s="87">
        <f t="shared" si="3"/>
        <v>929.08</v>
      </c>
      <c r="S29" s="259">
        <v>0</v>
      </c>
      <c r="T29" s="266">
        <v>5.2</v>
      </c>
      <c r="U29" s="260">
        <f>100+45</f>
        <v>145</v>
      </c>
      <c r="V29" s="87">
        <f t="shared" si="4"/>
        <v>150.19999999999999</v>
      </c>
      <c r="W29" s="259">
        <v>0</v>
      </c>
      <c r="X29" s="266">
        <v>0</v>
      </c>
      <c r="Y29" s="260">
        <f>[4]Oktober!Y29+[3]Oktober!AX27</f>
        <v>200</v>
      </c>
      <c r="Z29" s="87">
        <f t="shared" si="5"/>
        <v>200</v>
      </c>
      <c r="AA29" s="94">
        <f t="shared" si="12"/>
        <v>2051.16</v>
      </c>
      <c r="AB29" s="96" t="s">
        <v>53</v>
      </c>
      <c r="AC29" s="7"/>
      <c r="AD29" s="16">
        <v>22</v>
      </c>
      <c r="AE29" s="17" t="s">
        <v>25</v>
      </c>
      <c r="AF29" s="32">
        <f t="shared" si="15"/>
        <v>46</v>
      </c>
      <c r="AG29" s="32">
        <f t="shared" si="15"/>
        <v>43.160000000000004</v>
      </c>
      <c r="AH29" s="32">
        <f t="shared" si="16"/>
        <v>1962</v>
      </c>
      <c r="AI29" s="3"/>
      <c r="AJ29" s="35">
        <v>22</v>
      </c>
      <c r="AK29" s="36" t="s">
        <v>25</v>
      </c>
      <c r="AL29" s="38">
        <f t="shared" si="8"/>
        <v>46</v>
      </c>
      <c r="AM29" s="39">
        <f t="shared" si="9"/>
        <v>2.2426334366894833E-2</v>
      </c>
      <c r="AN29" s="38">
        <f t="shared" si="13"/>
        <v>43.160000000000004</v>
      </c>
      <c r="AO29" s="39">
        <f t="shared" si="10"/>
        <v>2.1041751984243066E-2</v>
      </c>
      <c r="AP29" s="38">
        <f t="shared" si="14"/>
        <v>1962</v>
      </c>
      <c r="AQ29" s="39">
        <f t="shared" si="11"/>
        <v>0.95653191364886214</v>
      </c>
    </row>
    <row r="30" spans="1:43" x14ac:dyDescent="0.25">
      <c r="A30" s="156">
        <v>23</v>
      </c>
      <c r="B30" s="157" t="s">
        <v>26</v>
      </c>
      <c r="C30" s="259">
        <v>0</v>
      </c>
      <c r="D30" s="266">
        <f>(((2.6+1)*1.3)*2)*2</f>
        <v>18.720000000000002</v>
      </c>
      <c r="E30" s="260">
        <f>[4]Oktober!E30+[3]Oktober!O28</f>
        <v>173</v>
      </c>
      <c r="F30" s="87">
        <f t="shared" si="0"/>
        <v>191.72</v>
      </c>
      <c r="G30" s="266">
        <v>11.2</v>
      </c>
      <c r="H30" s="266">
        <f>(((5.2+1)*1.3)*2)*2</f>
        <v>32.24</v>
      </c>
      <c r="I30" s="260">
        <f>[4]Oktober!I30+[3]Oktober!V28</f>
        <v>275</v>
      </c>
      <c r="J30" s="87">
        <f t="shared" si="1"/>
        <v>318.44</v>
      </c>
      <c r="K30" s="266">
        <v>16.399999999999999</v>
      </c>
      <c r="L30" s="266">
        <v>8.84</v>
      </c>
      <c r="M30" s="260">
        <f>[4]Oktober!M30</f>
        <v>100</v>
      </c>
      <c r="N30" s="87">
        <f t="shared" si="2"/>
        <v>125.24</v>
      </c>
      <c r="O30" s="266">
        <v>15.6</v>
      </c>
      <c r="P30" s="266">
        <v>14.040000000000001</v>
      </c>
      <c r="Q30" s="260">
        <f>[4]Oktober!Q30+[3]Oktober!AC28</f>
        <v>577</v>
      </c>
      <c r="R30" s="87">
        <f t="shared" si="3"/>
        <v>606.64</v>
      </c>
      <c r="S30" s="259">
        <v>0</v>
      </c>
      <c r="T30" s="266">
        <v>10.4</v>
      </c>
      <c r="U30" s="260">
        <f>60+25</f>
        <v>85</v>
      </c>
      <c r="V30" s="87">
        <f t="shared" si="4"/>
        <v>95.4</v>
      </c>
      <c r="W30" s="259">
        <v>0</v>
      </c>
      <c r="X30" s="266">
        <v>5.2</v>
      </c>
      <c r="Y30" s="260">
        <f>[4]Oktober!Y30+[3]Oktober!AX28</f>
        <v>200</v>
      </c>
      <c r="Z30" s="87">
        <f t="shared" si="5"/>
        <v>205.2</v>
      </c>
      <c r="AA30" s="94">
        <f t="shared" si="12"/>
        <v>1542.64</v>
      </c>
      <c r="AB30" s="96" t="s">
        <v>53</v>
      </c>
      <c r="AC30" s="7"/>
      <c r="AD30" s="16">
        <v>23</v>
      </c>
      <c r="AE30" s="17" t="s">
        <v>26</v>
      </c>
      <c r="AF30" s="32">
        <f t="shared" si="15"/>
        <v>43.199999999999996</v>
      </c>
      <c r="AG30" s="32">
        <f t="shared" si="15"/>
        <v>89.440000000000026</v>
      </c>
      <c r="AH30" s="32">
        <f t="shared" si="16"/>
        <v>1410</v>
      </c>
      <c r="AI30" s="3"/>
      <c r="AJ30" s="35">
        <v>23</v>
      </c>
      <c r="AK30" s="36" t="s">
        <v>26</v>
      </c>
      <c r="AL30" s="38">
        <f t="shared" si="8"/>
        <v>43.199999999999996</v>
      </c>
      <c r="AM30" s="39">
        <f t="shared" si="9"/>
        <v>2.8003941295441575E-2</v>
      </c>
      <c r="AN30" s="38">
        <f t="shared" si="13"/>
        <v>89.440000000000026</v>
      </c>
      <c r="AO30" s="39">
        <f t="shared" si="10"/>
        <v>5.7978530311673507E-2</v>
      </c>
      <c r="AP30" s="38">
        <f t="shared" si="14"/>
        <v>1410</v>
      </c>
      <c r="AQ30" s="39">
        <f t="shared" si="11"/>
        <v>0.91401752839288486</v>
      </c>
    </row>
    <row r="31" spans="1:43" x14ac:dyDescent="0.25">
      <c r="A31" s="156">
        <v>24</v>
      </c>
      <c r="B31" s="157" t="s">
        <v>27</v>
      </c>
      <c r="C31" s="259">
        <v>0</v>
      </c>
      <c r="D31" s="266">
        <v>0</v>
      </c>
      <c r="E31" s="260">
        <f>[4]Oktober!E31+[3]Oktober!O29</f>
        <v>265</v>
      </c>
      <c r="F31" s="87">
        <f t="shared" si="0"/>
        <v>265</v>
      </c>
      <c r="G31" s="266">
        <v>10</v>
      </c>
      <c r="H31" s="266">
        <v>10.920000000000002</v>
      </c>
      <c r="I31" s="260">
        <f>[4]Oktober!I31+[3]Oktober!V29</f>
        <v>485</v>
      </c>
      <c r="J31" s="87">
        <f t="shared" si="1"/>
        <v>505.92</v>
      </c>
      <c r="K31" s="266">
        <v>16.8</v>
      </c>
      <c r="L31" s="266">
        <v>8.32</v>
      </c>
      <c r="M31" s="260">
        <f>[4]Oktober!M31</f>
        <v>95</v>
      </c>
      <c r="N31" s="87">
        <f t="shared" si="2"/>
        <v>120.12</v>
      </c>
      <c r="O31" s="266">
        <v>14.8</v>
      </c>
      <c r="P31" s="266">
        <f>(((1.8+1)*1.3)*2)*2</f>
        <v>14.559999999999999</v>
      </c>
      <c r="Q31" s="260">
        <f>[4]Oktober!Q31+[3]Oktober!AC29</f>
        <v>1095</v>
      </c>
      <c r="R31" s="87">
        <f t="shared" si="3"/>
        <v>1124.3599999999999</v>
      </c>
      <c r="S31" s="259">
        <v>0</v>
      </c>
      <c r="T31" s="266">
        <v>10.4</v>
      </c>
      <c r="U31" s="260">
        <f>55+80</f>
        <v>135</v>
      </c>
      <c r="V31" s="87">
        <f t="shared" si="4"/>
        <v>145.4</v>
      </c>
      <c r="W31" s="259">
        <v>0</v>
      </c>
      <c r="X31" s="266">
        <v>0</v>
      </c>
      <c r="Y31" s="260">
        <f>[4]Oktober!Y31+[3]Oktober!AX29</f>
        <v>200</v>
      </c>
      <c r="Z31" s="87">
        <f t="shared" si="5"/>
        <v>200</v>
      </c>
      <c r="AA31" s="94">
        <f t="shared" si="12"/>
        <v>2360.8000000000002</v>
      </c>
      <c r="AB31" s="96" t="s">
        <v>53</v>
      </c>
      <c r="AC31" s="7"/>
      <c r="AD31" s="16">
        <v>24</v>
      </c>
      <c r="AE31" s="17" t="s">
        <v>27</v>
      </c>
      <c r="AF31" s="32">
        <f t="shared" si="15"/>
        <v>41.6</v>
      </c>
      <c r="AG31" s="32">
        <f t="shared" si="15"/>
        <v>44.199999999999996</v>
      </c>
      <c r="AH31" s="32">
        <f t="shared" si="16"/>
        <v>2275</v>
      </c>
      <c r="AI31" s="3"/>
      <c r="AJ31" s="35">
        <v>24</v>
      </c>
      <c r="AK31" s="36" t="s">
        <v>27</v>
      </c>
      <c r="AL31" s="38">
        <f t="shared" si="8"/>
        <v>41.6</v>
      </c>
      <c r="AM31" s="39">
        <f t="shared" si="9"/>
        <v>1.7621145374449337E-2</v>
      </c>
      <c r="AN31" s="38">
        <f t="shared" si="13"/>
        <v>44.199999999999996</v>
      </c>
      <c r="AO31" s="39">
        <f t="shared" si="10"/>
        <v>1.8722466960352419E-2</v>
      </c>
      <c r="AP31" s="38">
        <f t="shared" si="14"/>
        <v>2275</v>
      </c>
      <c r="AQ31" s="39">
        <f t="shared" si="11"/>
        <v>0.96365638766519812</v>
      </c>
    </row>
    <row r="32" spans="1:43" x14ac:dyDescent="0.25">
      <c r="A32" s="156">
        <v>25</v>
      </c>
      <c r="B32" s="157" t="s">
        <v>28</v>
      </c>
      <c r="C32" s="259">
        <v>0</v>
      </c>
      <c r="D32" s="266">
        <v>5.2</v>
      </c>
      <c r="E32" s="260">
        <f>[4]Oktober!E32+[3]Oktober!O30</f>
        <v>270</v>
      </c>
      <c r="F32" s="87">
        <f t="shared" si="0"/>
        <v>275.2</v>
      </c>
      <c r="G32" s="266">
        <v>13.6</v>
      </c>
      <c r="H32" s="266">
        <v>5.2</v>
      </c>
      <c r="I32" s="260">
        <f>[4]Oktober!I32+[3]Oktober!V30</f>
        <v>600</v>
      </c>
      <c r="J32" s="87">
        <f t="shared" si="1"/>
        <v>618.79999999999995</v>
      </c>
      <c r="K32" s="266">
        <v>14.8</v>
      </c>
      <c r="L32" s="266">
        <v>19.759999999999998</v>
      </c>
      <c r="M32" s="260">
        <f>[4]Oktober!M32</f>
        <v>150</v>
      </c>
      <c r="N32" s="87">
        <f t="shared" si="2"/>
        <v>184.56</v>
      </c>
      <c r="O32" s="266">
        <v>12.4</v>
      </c>
      <c r="P32" s="266">
        <v>34.840000000000003</v>
      </c>
      <c r="Q32" s="260">
        <f>[4]Oktober!Q32+[3]Oktober!AC30</f>
        <v>927</v>
      </c>
      <c r="R32" s="87">
        <f t="shared" si="3"/>
        <v>974.24</v>
      </c>
      <c r="S32" s="259">
        <v>0</v>
      </c>
      <c r="T32" s="266">
        <v>10.4</v>
      </c>
      <c r="U32" s="260">
        <f>70+100</f>
        <v>170</v>
      </c>
      <c r="V32" s="87">
        <f t="shared" si="4"/>
        <v>180.4</v>
      </c>
      <c r="W32" s="259">
        <v>0</v>
      </c>
      <c r="X32" s="266">
        <v>5.2</v>
      </c>
      <c r="Y32" s="260">
        <f>[4]Oktober!Y32+[3]Oktober!AX30</f>
        <v>200</v>
      </c>
      <c r="Z32" s="87">
        <f t="shared" si="5"/>
        <v>205.2</v>
      </c>
      <c r="AA32" s="94">
        <f t="shared" si="12"/>
        <v>2438.4</v>
      </c>
      <c r="AB32" s="96" t="s">
        <v>53</v>
      </c>
      <c r="AC32" s="7"/>
      <c r="AD32" s="16">
        <v>25</v>
      </c>
      <c r="AE32" s="17" t="s">
        <v>28</v>
      </c>
      <c r="AF32" s="32">
        <f t="shared" si="15"/>
        <v>40.799999999999997</v>
      </c>
      <c r="AG32" s="32">
        <f t="shared" si="15"/>
        <v>80.600000000000009</v>
      </c>
      <c r="AH32" s="32">
        <f t="shared" si="16"/>
        <v>2317</v>
      </c>
      <c r="AI32" s="3"/>
      <c r="AJ32" s="35">
        <v>25</v>
      </c>
      <c r="AK32" s="36" t="s">
        <v>28</v>
      </c>
      <c r="AL32" s="38">
        <f t="shared" si="8"/>
        <v>40.799999999999997</v>
      </c>
      <c r="AM32" s="39">
        <f t="shared" si="9"/>
        <v>1.6732283464566927E-2</v>
      </c>
      <c r="AN32" s="38">
        <f t="shared" si="13"/>
        <v>80.600000000000009</v>
      </c>
      <c r="AO32" s="39">
        <f t="shared" si="10"/>
        <v>3.3054461942257217E-2</v>
      </c>
      <c r="AP32" s="38">
        <f t="shared" si="14"/>
        <v>2317</v>
      </c>
      <c r="AQ32" s="39">
        <f t="shared" si="11"/>
        <v>0.95021325459317585</v>
      </c>
    </row>
    <row r="33" spans="1:43" x14ac:dyDescent="0.25">
      <c r="A33" s="156">
        <v>26</v>
      </c>
      <c r="B33" s="157" t="s">
        <v>29</v>
      </c>
      <c r="C33" s="259">
        <v>0</v>
      </c>
      <c r="D33" s="266">
        <v>0</v>
      </c>
      <c r="E33" s="260">
        <f>[4]Oktober!E33+[3]Oktober!O31</f>
        <v>0</v>
      </c>
      <c r="F33" s="87">
        <f t="shared" si="0"/>
        <v>0</v>
      </c>
      <c r="G33" s="266">
        <v>0</v>
      </c>
      <c r="H33" s="266">
        <v>0</v>
      </c>
      <c r="I33" s="260">
        <f>[4]Oktober!I33+[3]Oktober!V31</f>
        <v>0</v>
      </c>
      <c r="J33" s="87">
        <f t="shared" si="1"/>
        <v>0</v>
      </c>
      <c r="K33" s="266">
        <v>12.4</v>
      </c>
      <c r="L33" s="266">
        <v>10.920000000000002</v>
      </c>
      <c r="M33" s="260">
        <f>[4]Oktober!M33</f>
        <v>0</v>
      </c>
      <c r="N33" s="87">
        <f t="shared" si="2"/>
        <v>23.32</v>
      </c>
      <c r="O33" s="266">
        <v>16.8</v>
      </c>
      <c r="P33" s="266">
        <f>(((1+1)*1.3)*2)*2</f>
        <v>10.4</v>
      </c>
      <c r="Q33" s="260">
        <f>[4]Oktober!Q33+[3]Oktober!AC31</f>
        <v>0</v>
      </c>
      <c r="R33" s="87">
        <f t="shared" si="3"/>
        <v>27.200000000000003</v>
      </c>
      <c r="S33" s="259">
        <v>0</v>
      </c>
      <c r="T33" s="266">
        <v>5.2</v>
      </c>
      <c r="U33" s="260"/>
      <c r="V33" s="87">
        <f t="shared" si="4"/>
        <v>5.2</v>
      </c>
      <c r="W33" s="259">
        <v>0</v>
      </c>
      <c r="X33" s="266">
        <v>0</v>
      </c>
      <c r="Y33" s="260">
        <f>[4]Oktober!Y33+[3]Oktober!AX31</f>
        <v>0</v>
      </c>
      <c r="Z33" s="87">
        <f t="shared" si="5"/>
        <v>0</v>
      </c>
      <c r="AA33" s="94">
        <f t="shared" si="12"/>
        <v>55.720000000000006</v>
      </c>
      <c r="AB33" s="96" t="s">
        <v>53</v>
      </c>
      <c r="AC33" s="7"/>
      <c r="AD33" s="16">
        <v>26</v>
      </c>
      <c r="AE33" s="17" t="s">
        <v>29</v>
      </c>
      <c r="AF33" s="32">
        <f t="shared" si="15"/>
        <v>29.200000000000003</v>
      </c>
      <c r="AG33" s="32">
        <f t="shared" si="15"/>
        <v>26.52</v>
      </c>
      <c r="AH33" s="32">
        <f t="shared" si="16"/>
        <v>0</v>
      </c>
      <c r="AI33" s="3"/>
      <c r="AJ33" s="35">
        <v>26</v>
      </c>
      <c r="AK33" s="36" t="s">
        <v>29</v>
      </c>
      <c r="AL33" s="38">
        <f t="shared" si="8"/>
        <v>29.200000000000003</v>
      </c>
      <c r="AM33" s="39">
        <f t="shared" si="9"/>
        <v>0.52404881550610194</v>
      </c>
      <c r="AN33" s="38">
        <f t="shared" si="13"/>
        <v>26.52</v>
      </c>
      <c r="AO33" s="39">
        <f t="shared" si="10"/>
        <v>0.47595118449389801</v>
      </c>
      <c r="AP33" s="38">
        <f t="shared" si="14"/>
        <v>0</v>
      </c>
      <c r="AQ33" s="39">
        <f t="shared" si="11"/>
        <v>0</v>
      </c>
    </row>
    <row r="34" spans="1:43" x14ac:dyDescent="0.25">
      <c r="A34" s="156">
        <v>27</v>
      </c>
      <c r="B34" s="157" t="s">
        <v>30</v>
      </c>
      <c r="C34" s="259">
        <v>0</v>
      </c>
      <c r="D34" s="266">
        <v>0</v>
      </c>
      <c r="E34" s="260">
        <f>[4]Oktober!E34+[3]Oktober!O32</f>
        <v>0</v>
      </c>
      <c r="F34" s="87">
        <f t="shared" si="0"/>
        <v>0</v>
      </c>
      <c r="G34" s="266">
        <v>0</v>
      </c>
      <c r="H34" s="266">
        <v>5.2</v>
      </c>
      <c r="I34" s="260">
        <f>[4]Oktober!I34+[3]Oktober!V32</f>
        <v>0</v>
      </c>
      <c r="J34" s="87">
        <f t="shared" si="1"/>
        <v>5.2</v>
      </c>
      <c r="K34" s="266">
        <v>11.6</v>
      </c>
      <c r="L34" s="266">
        <v>17.16</v>
      </c>
      <c r="M34" s="260">
        <f>[4]Oktober!M34</f>
        <v>0</v>
      </c>
      <c r="N34" s="87">
        <f t="shared" si="2"/>
        <v>28.759999999999998</v>
      </c>
      <c r="O34" s="266">
        <v>15.6</v>
      </c>
      <c r="P34" s="266">
        <v>24.44</v>
      </c>
      <c r="Q34" s="260">
        <f>[4]Oktober!Q34+[3]Oktober!AC32</f>
        <v>0</v>
      </c>
      <c r="R34" s="87">
        <f t="shared" si="3"/>
        <v>40.04</v>
      </c>
      <c r="S34" s="259">
        <v>0</v>
      </c>
      <c r="T34" s="266">
        <v>10.4</v>
      </c>
      <c r="U34" s="260"/>
      <c r="V34" s="87">
        <f t="shared" si="4"/>
        <v>10.4</v>
      </c>
      <c r="W34" s="259">
        <v>0</v>
      </c>
      <c r="X34" s="266">
        <v>5.2</v>
      </c>
      <c r="Y34" s="260">
        <f>[4]Oktober!Y34+[3]Oktober!AX32</f>
        <v>0</v>
      </c>
      <c r="Z34" s="87">
        <f t="shared" si="5"/>
        <v>5.2</v>
      </c>
      <c r="AA34" s="94">
        <f t="shared" si="12"/>
        <v>89.600000000000009</v>
      </c>
      <c r="AB34" s="96" t="s">
        <v>53</v>
      </c>
      <c r="AC34" s="7"/>
      <c r="AD34" s="16">
        <v>27</v>
      </c>
      <c r="AE34" s="17" t="s">
        <v>30</v>
      </c>
      <c r="AF34" s="32">
        <f t="shared" si="15"/>
        <v>27.2</v>
      </c>
      <c r="AG34" s="32">
        <f t="shared" si="15"/>
        <v>62.4</v>
      </c>
      <c r="AH34" s="32">
        <f t="shared" si="16"/>
        <v>0</v>
      </c>
      <c r="AI34" s="3"/>
      <c r="AJ34" s="35">
        <v>27</v>
      </c>
      <c r="AK34" s="36" t="s">
        <v>30</v>
      </c>
      <c r="AL34" s="38">
        <f t="shared" si="8"/>
        <v>27.2</v>
      </c>
      <c r="AM34" s="39">
        <f t="shared" si="9"/>
        <v>0.30357142857142855</v>
      </c>
      <c r="AN34" s="38">
        <f t="shared" si="13"/>
        <v>62.4</v>
      </c>
      <c r="AO34" s="39">
        <f t="shared" si="10"/>
        <v>0.6964285714285714</v>
      </c>
      <c r="AP34" s="38">
        <f t="shared" si="14"/>
        <v>0</v>
      </c>
      <c r="AQ34" s="39">
        <f t="shared" si="11"/>
        <v>0</v>
      </c>
    </row>
    <row r="35" spans="1:43" x14ac:dyDescent="0.25">
      <c r="A35" s="156">
        <v>28</v>
      </c>
      <c r="B35" s="157" t="s">
        <v>31</v>
      </c>
      <c r="C35" s="259">
        <v>0</v>
      </c>
      <c r="D35" s="266">
        <f>(((5.1+1)*1.3)*2)*2</f>
        <v>31.72</v>
      </c>
      <c r="E35" s="260">
        <f>[4]Oktober!E35+[3]Oktober!O33</f>
        <v>285</v>
      </c>
      <c r="F35" s="87">
        <f t="shared" si="0"/>
        <v>316.72000000000003</v>
      </c>
      <c r="G35" s="266">
        <v>11.6</v>
      </c>
      <c r="H35" s="266">
        <f>(((3.6+1)*1.3)*2)*2</f>
        <v>23.919999999999998</v>
      </c>
      <c r="I35" s="260">
        <f>[4]Oktober!I35+[3]Oktober!V33</f>
        <v>840</v>
      </c>
      <c r="J35" s="87">
        <f t="shared" si="1"/>
        <v>875.52</v>
      </c>
      <c r="K35" s="266">
        <v>12.4</v>
      </c>
      <c r="L35" s="266">
        <v>20.28</v>
      </c>
      <c r="M35" s="260">
        <f>[4]Oktober!M35</f>
        <v>55</v>
      </c>
      <c r="N35" s="87">
        <f t="shared" si="2"/>
        <v>87.68</v>
      </c>
      <c r="O35" s="266">
        <v>18</v>
      </c>
      <c r="P35" s="266">
        <f>(((5.8+1)*1.3)*2)*2</f>
        <v>35.36</v>
      </c>
      <c r="Q35" s="260">
        <f>[4]Oktober!Q35+[3]Oktober!AC33</f>
        <v>950</v>
      </c>
      <c r="R35" s="87">
        <f t="shared" si="3"/>
        <v>1003.36</v>
      </c>
      <c r="S35" s="259">
        <v>0</v>
      </c>
      <c r="T35" s="266">
        <v>10.4</v>
      </c>
      <c r="U35" s="260">
        <f>120+70</f>
        <v>190</v>
      </c>
      <c r="V35" s="87">
        <f t="shared" si="4"/>
        <v>200.4</v>
      </c>
      <c r="W35" s="259">
        <v>0</v>
      </c>
      <c r="X35" s="266">
        <v>5.2</v>
      </c>
      <c r="Y35" s="260">
        <f>[4]Oktober!Y35+[3]Oktober!AX33</f>
        <v>185</v>
      </c>
      <c r="Z35" s="87">
        <f t="shared" si="5"/>
        <v>190.2</v>
      </c>
      <c r="AA35" s="94">
        <f t="shared" si="12"/>
        <v>2673.88</v>
      </c>
      <c r="AB35" s="96" t="s">
        <v>53</v>
      </c>
      <c r="AC35" s="7"/>
      <c r="AD35" s="16">
        <v>28</v>
      </c>
      <c r="AE35" s="17" t="s">
        <v>31</v>
      </c>
      <c r="AF35" s="32">
        <f t="shared" si="15"/>
        <v>42</v>
      </c>
      <c r="AG35" s="32">
        <f t="shared" si="15"/>
        <v>126.88000000000001</v>
      </c>
      <c r="AH35" s="32">
        <f t="shared" si="16"/>
        <v>2505</v>
      </c>
      <c r="AI35" s="3"/>
      <c r="AJ35" s="35">
        <v>28</v>
      </c>
      <c r="AK35" s="36" t="s">
        <v>31</v>
      </c>
      <c r="AL35" s="38">
        <f t="shared" si="8"/>
        <v>42</v>
      </c>
      <c r="AM35" s="39">
        <f t="shared" si="9"/>
        <v>1.5707511182252009E-2</v>
      </c>
      <c r="AN35" s="38">
        <f t="shared" si="13"/>
        <v>126.88000000000001</v>
      </c>
      <c r="AO35" s="39">
        <f t="shared" si="10"/>
        <v>4.7451643304860354E-2</v>
      </c>
      <c r="AP35" s="38">
        <f t="shared" si="14"/>
        <v>2505</v>
      </c>
      <c r="AQ35" s="39">
        <f t="shared" si="11"/>
        <v>0.9368408455128876</v>
      </c>
    </row>
    <row r="36" spans="1:43" x14ac:dyDescent="0.25">
      <c r="A36" s="156">
        <v>29</v>
      </c>
      <c r="B36" s="157" t="s">
        <v>32</v>
      </c>
      <c r="C36" s="259">
        <v>0</v>
      </c>
      <c r="D36" s="266">
        <v>0</v>
      </c>
      <c r="E36" s="260">
        <f>[4]Oktober!E36+[3]Oktober!O34</f>
        <v>205</v>
      </c>
      <c r="F36" s="87">
        <f t="shared" si="0"/>
        <v>205</v>
      </c>
      <c r="G36" s="266">
        <v>12.4</v>
      </c>
      <c r="H36" s="266">
        <v>10.4</v>
      </c>
      <c r="I36" s="260">
        <f>[4]Oktober!I36+[3]Oktober!V34</f>
        <v>275</v>
      </c>
      <c r="J36" s="87">
        <f t="shared" si="1"/>
        <v>297.8</v>
      </c>
      <c r="K36" s="266">
        <v>16.8</v>
      </c>
      <c r="L36" s="266">
        <v>4.16</v>
      </c>
      <c r="M36" s="260">
        <f>[4]Oktober!M36</f>
        <v>100</v>
      </c>
      <c r="N36" s="87">
        <f t="shared" si="2"/>
        <v>120.96000000000001</v>
      </c>
      <c r="O36" s="266">
        <v>14.8</v>
      </c>
      <c r="P36" s="266">
        <v>24.44</v>
      </c>
      <c r="Q36" s="260">
        <f>[4]Oktober!Q36+[3]Oktober!AC34</f>
        <v>585</v>
      </c>
      <c r="R36" s="87">
        <f t="shared" si="3"/>
        <v>624.24</v>
      </c>
      <c r="S36" s="259">
        <v>0</v>
      </c>
      <c r="T36" s="266">
        <v>0</v>
      </c>
      <c r="U36" s="260">
        <f>95+20</f>
        <v>115</v>
      </c>
      <c r="V36" s="87">
        <f t="shared" si="4"/>
        <v>115</v>
      </c>
      <c r="W36" s="259">
        <v>0</v>
      </c>
      <c r="X36" s="260"/>
      <c r="Y36" s="260">
        <f>[4]Oktober!Y36+[3]Oktober!AX34</f>
        <v>120</v>
      </c>
      <c r="Z36" s="87">
        <f t="shared" si="5"/>
        <v>120</v>
      </c>
      <c r="AA36" s="94">
        <f t="shared" si="12"/>
        <v>1483</v>
      </c>
      <c r="AB36" s="96" t="s">
        <v>53</v>
      </c>
      <c r="AC36" s="7"/>
      <c r="AD36" s="16">
        <v>29</v>
      </c>
      <c r="AE36" s="17" t="s">
        <v>32</v>
      </c>
      <c r="AF36" s="32">
        <f t="shared" si="15"/>
        <v>44</v>
      </c>
      <c r="AG36" s="32">
        <f t="shared" si="15"/>
        <v>39</v>
      </c>
      <c r="AH36" s="32">
        <f t="shared" si="16"/>
        <v>1400</v>
      </c>
      <c r="AI36" s="3"/>
      <c r="AJ36" s="35">
        <v>29</v>
      </c>
      <c r="AK36" s="36" t="s">
        <v>32</v>
      </c>
      <c r="AL36" s="38">
        <f t="shared" si="8"/>
        <v>44</v>
      </c>
      <c r="AM36" s="39">
        <f t="shared" si="9"/>
        <v>2.9669588671611596E-2</v>
      </c>
      <c r="AN36" s="38">
        <f t="shared" si="13"/>
        <v>39</v>
      </c>
      <c r="AO36" s="39">
        <f t="shared" si="10"/>
        <v>2.6298044504383007E-2</v>
      </c>
      <c r="AP36" s="38">
        <f t="shared" si="14"/>
        <v>1400</v>
      </c>
      <c r="AQ36" s="39">
        <f t="shared" si="11"/>
        <v>0.94403236682400538</v>
      </c>
    </row>
    <row r="37" spans="1:43" x14ac:dyDescent="0.25">
      <c r="A37" s="156">
        <v>30</v>
      </c>
      <c r="B37" s="157" t="s">
        <v>33</v>
      </c>
      <c r="C37" s="259">
        <v>0</v>
      </c>
      <c r="D37" s="266">
        <v>0</v>
      </c>
      <c r="E37" s="260">
        <f>[4]Oktober!E37+[3]Oktober!O35</f>
        <v>235</v>
      </c>
      <c r="F37" s="87">
        <f t="shared" si="0"/>
        <v>235</v>
      </c>
      <c r="G37" s="266">
        <v>13.6</v>
      </c>
      <c r="H37" s="266">
        <v>26.52</v>
      </c>
      <c r="I37" s="260">
        <f>[4]Oktober!I37+[3]Oktober!V35</f>
        <v>275</v>
      </c>
      <c r="J37" s="87">
        <f t="shared" si="1"/>
        <v>315.12</v>
      </c>
      <c r="K37" s="266">
        <v>20.399999999999999</v>
      </c>
      <c r="L37" s="266">
        <v>5.7200000000000006</v>
      </c>
      <c r="M37" s="260">
        <f>[4]Oktober!M37</f>
        <v>100</v>
      </c>
      <c r="N37" s="87">
        <f t="shared" si="2"/>
        <v>126.12</v>
      </c>
      <c r="O37" s="266">
        <v>11.6</v>
      </c>
      <c r="P37" s="266">
        <v>10.920000000000002</v>
      </c>
      <c r="Q37" s="260">
        <f>[4]Oktober!Q37+[3]Oktober!AC35</f>
        <v>705</v>
      </c>
      <c r="R37" s="87">
        <f t="shared" si="3"/>
        <v>727.52</v>
      </c>
      <c r="S37" s="259">
        <v>0</v>
      </c>
      <c r="T37" s="266">
        <v>0</v>
      </c>
      <c r="U37" s="260">
        <f>95+40</f>
        <v>135</v>
      </c>
      <c r="V37" s="87">
        <f t="shared" si="4"/>
        <v>135</v>
      </c>
      <c r="W37" s="259">
        <v>0</v>
      </c>
      <c r="X37" s="260"/>
      <c r="Y37" s="260">
        <f>[4]Oktober!Y37+[3]Oktober!AX35</f>
        <v>115</v>
      </c>
      <c r="Z37" s="87">
        <f t="shared" si="5"/>
        <v>115</v>
      </c>
      <c r="AA37" s="94">
        <f t="shared" si="12"/>
        <v>1653.76</v>
      </c>
      <c r="AB37" s="96" t="s">
        <v>53</v>
      </c>
      <c r="AC37" s="7"/>
      <c r="AD37" s="16">
        <v>30</v>
      </c>
      <c r="AE37" s="17" t="s">
        <v>33</v>
      </c>
      <c r="AF37" s="32">
        <f t="shared" si="15"/>
        <v>45.6</v>
      </c>
      <c r="AG37" s="32">
        <f t="shared" si="15"/>
        <v>43.160000000000004</v>
      </c>
      <c r="AH37" s="32">
        <f t="shared" si="16"/>
        <v>1565</v>
      </c>
      <c r="AI37" s="3"/>
      <c r="AJ37" s="35">
        <v>30</v>
      </c>
      <c r="AK37" s="36" t="s">
        <v>33</v>
      </c>
      <c r="AL37" s="38">
        <f t="shared" si="8"/>
        <v>45.6</v>
      </c>
      <c r="AM37" s="39">
        <f t="shared" si="9"/>
        <v>2.7573529411764709E-2</v>
      </c>
      <c r="AN37" s="38">
        <f t="shared" si="13"/>
        <v>43.160000000000004</v>
      </c>
      <c r="AO37" s="39">
        <f t="shared" si="10"/>
        <v>2.6098103715170282E-2</v>
      </c>
      <c r="AP37" s="38">
        <f t="shared" si="14"/>
        <v>1565</v>
      </c>
      <c r="AQ37" s="39">
        <f t="shared" si="11"/>
        <v>0.94632836687306499</v>
      </c>
    </row>
    <row r="38" spans="1:43" ht="15.75" thickBot="1" x14ac:dyDescent="0.3">
      <c r="A38" s="158">
        <v>31</v>
      </c>
      <c r="B38" s="159" t="s">
        <v>34</v>
      </c>
      <c r="C38" s="261">
        <v>0</v>
      </c>
      <c r="D38" s="266">
        <v>5.2</v>
      </c>
      <c r="E38" s="262">
        <f>[4]Oktober!E38+[3]Oktober!O36</f>
        <v>180</v>
      </c>
      <c r="F38" s="88">
        <f t="shared" si="0"/>
        <v>185.2</v>
      </c>
      <c r="G38" s="266">
        <v>11.6</v>
      </c>
      <c r="H38" s="266">
        <v>10.4</v>
      </c>
      <c r="I38" s="262">
        <f>[4]Oktober!I38+[3]Oktober!V36</f>
        <v>575</v>
      </c>
      <c r="J38" s="88">
        <f t="shared" si="1"/>
        <v>597</v>
      </c>
      <c r="K38" s="266">
        <v>10.8</v>
      </c>
      <c r="L38" s="266">
        <v>21.32</v>
      </c>
      <c r="M38" s="262">
        <f>[4]Oktober!M38</f>
        <v>100</v>
      </c>
      <c r="N38" s="88">
        <f t="shared" si="2"/>
        <v>132.12</v>
      </c>
      <c r="O38" s="266">
        <v>16.399999999999999</v>
      </c>
      <c r="P38" s="266">
        <f>(((2+2)*1.3)*2)*2</f>
        <v>20.8</v>
      </c>
      <c r="Q38" s="262">
        <f>[4]Oktober!Q38+[3]Oktober!AC36</f>
        <v>325</v>
      </c>
      <c r="R38" s="88">
        <f t="shared" si="3"/>
        <v>362.2</v>
      </c>
      <c r="S38" s="261">
        <v>0</v>
      </c>
      <c r="T38" s="266">
        <v>15.600000000000001</v>
      </c>
      <c r="U38" s="262">
        <f>95+40</f>
        <v>135</v>
      </c>
      <c r="V38" s="88">
        <f t="shared" si="4"/>
        <v>150.6</v>
      </c>
      <c r="W38" s="261">
        <v>0</v>
      </c>
      <c r="X38" s="262"/>
      <c r="Y38" s="262">
        <f>[4]Oktober!Y38+[3]Oktober!AX36</f>
        <v>160</v>
      </c>
      <c r="Z38" s="88">
        <f t="shared" si="5"/>
        <v>160</v>
      </c>
      <c r="AA38" s="94">
        <f t="shared" si="12"/>
        <v>1587.12</v>
      </c>
      <c r="AB38" s="97" t="s">
        <v>53</v>
      </c>
      <c r="AC38" s="7"/>
      <c r="AD38" s="18">
        <v>31</v>
      </c>
      <c r="AE38" s="19" t="s">
        <v>34</v>
      </c>
      <c r="AF38" s="32">
        <f t="shared" si="15"/>
        <v>38.799999999999997</v>
      </c>
      <c r="AG38" s="32">
        <f t="shared" si="15"/>
        <v>73.319999999999993</v>
      </c>
      <c r="AH38" s="32">
        <f t="shared" si="16"/>
        <v>1475</v>
      </c>
      <c r="AI38" s="3"/>
      <c r="AJ38" s="35">
        <v>31</v>
      </c>
      <c r="AK38" s="36" t="s">
        <v>34</v>
      </c>
      <c r="AL38" s="50">
        <f t="shared" si="8"/>
        <v>38.799999999999997</v>
      </c>
      <c r="AM38" s="51">
        <f t="shared" si="9"/>
        <v>2.4446796713544029E-2</v>
      </c>
      <c r="AN38" s="38">
        <f t="shared" si="13"/>
        <v>73.319999999999993</v>
      </c>
      <c r="AO38" s="39">
        <f t="shared" si="10"/>
        <v>4.6196884923635266E-2</v>
      </c>
      <c r="AP38" s="38">
        <f t="shared" si="14"/>
        <v>1475</v>
      </c>
      <c r="AQ38" s="39">
        <f t="shared" si="11"/>
        <v>0.92935631836282073</v>
      </c>
    </row>
    <row r="39" spans="1:43" s="60" customFormat="1" ht="33.75" customHeight="1" thickBot="1" x14ac:dyDescent="0.3">
      <c r="A39" s="308" t="s">
        <v>58</v>
      </c>
      <c r="B39" s="309"/>
      <c r="C39" s="99">
        <f t="shared" ref="C39:I39" si="17">SUM(C8:C38)</f>
        <v>0</v>
      </c>
      <c r="D39" s="100">
        <f t="shared" si="17"/>
        <v>256.88</v>
      </c>
      <c r="E39" s="100">
        <f t="shared" si="17"/>
        <v>5517</v>
      </c>
      <c r="F39" s="219">
        <f t="shared" si="17"/>
        <v>5773.880000000001</v>
      </c>
      <c r="G39" s="101">
        <f t="shared" si="17"/>
        <v>290.8</v>
      </c>
      <c r="H39" s="102">
        <f t="shared" si="17"/>
        <v>509.6</v>
      </c>
      <c r="I39" s="102">
        <f t="shared" si="17"/>
        <v>11532</v>
      </c>
      <c r="J39" s="219">
        <f>SUM(J8:J38)</f>
        <v>12332.400000000001</v>
      </c>
      <c r="K39" s="101">
        <f>SUM(K8:K38)</f>
        <v>459.19999999999993</v>
      </c>
      <c r="L39" s="102">
        <f>SUM(L8:L38)</f>
        <v>345.28000000000009</v>
      </c>
      <c r="M39" s="102">
        <f t="shared" ref="M39" si="18">SUM(M8:M38)</f>
        <v>2445</v>
      </c>
      <c r="N39" s="219">
        <f>SUM(N8:N38)</f>
        <v>3249.4799999999996</v>
      </c>
      <c r="O39" s="101">
        <f>SUM(O8:O38)</f>
        <v>482.40000000000009</v>
      </c>
      <c r="P39" s="102">
        <f>SUM(P8:P38)</f>
        <v>665.08</v>
      </c>
      <c r="Q39" s="102">
        <f t="shared" ref="Q39" si="19">SUM(Q8:Q38)</f>
        <v>19033</v>
      </c>
      <c r="R39" s="219">
        <f>SUM(R8:R38)</f>
        <v>20180.480000000007</v>
      </c>
      <c r="S39" s="101">
        <f>SUM(S8:S38)</f>
        <v>0</v>
      </c>
      <c r="T39" s="102">
        <f>SUM(T8:T38)</f>
        <v>317.19999999999993</v>
      </c>
      <c r="U39" s="102">
        <f t="shared" ref="U39" si="20">SUM(U8:U38)</f>
        <v>3063</v>
      </c>
      <c r="V39" s="219">
        <f>SUM(V8:V38)</f>
        <v>3380.2000000000003</v>
      </c>
      <c r="W39" s="101">
        <f>SUM(W8:W38)</f>
        <v>0</v>
      </c>
      <c r="X39" s="102">
        <f>SUM(X8:X38)</f>
        <v>452.39999999999992</v>
      </c>
      <c r="Y39" s="102">
        <f t="shared" ref="Y39" si="21">SUM(Y8:Y38)</f>
        <v>4093</v>
      </c>
      <c r="Z39" s="219">
        <f>SUM(Z8:Z38)</f>
        <v>4545.3999999999987</v>
      </c>
      <c r="AA39" s="220">
        <f>SUM(AA8:AA38)</f>
        <v>49461.840000000004</v>
      </c>
      <c r="AB39" s="221" t="s">
        <v>51</v>
      </c>
      <c r="AC39" s="63"/>
      <c r="AD39" s="64" t="s">
        <v>96</v>
      </c>
      <c r="AE39" s="65"/>
      <c r="AF39" s="66">
        <f>SUM(AF8:AF38)</f>
        <v>1232.3999999999999</v>
      </c>
      <c r="AG39" s="66">
        <f>SUM(AG8:AG38)</f>
        <v>2546.44</v>
      </c>
      <c r="AH39" s="67">
        <f>SUM(AH8:AH38)</f>
        <v>45683</v>
      </c>
      <c r="AI39" s="68"/>
      <c r="AJ39" s="61" t="s">
        <v>94</v>
      </c>
      <c r="AK39" s="69"/>
      <c r="AL39" s="70">
        <f>SUM(AL8:AL38)</f>
        <v>1232.3999999999999</v>
      </c>
      <c r="AM39" s="71" t="s">
        <v>64</v>
      </c>
      <c r="AN39" s="70">
        <f>SUM(AN8:AN38)</f>
        <v>2546.44</v>
      </c>
      <c r="AO39" s="72" t="s">
        <v>64</v>
      </c>
      <c r="AP39" s="70">
        <f>SUM(AP8:AP38)</f>
        <v>45683</v>
      </c>
      <c r="AQ39" s="72" t="s">
        <v>64</v>
      </c>
    </row>
    <row r="40" spans="1:43" s="60" customFormat="1" ht="33.75" customHeight="1" thickBot="1" x14ac:dyDescent="0.3">
      <c r="A40" s="308" t="s">
        <v>59</v>
      </c>
      <c r="B40" s="309"/>
      <c r="C40" s="114">
        <f>C39/1000</f>
        <v>0</v>
      </c>
      <c r="D40" s="115">
        <f t="shared" ref="D40:E40" si="22">D39/1000</f>
        <v>0.25688</v>
      </c>
      <c r="E40" s="115">
        <f t="shared" si="22"/>
        <v>5.5170000000000003</v>
      </c>
      <c r="F40" s="222">
        <f>F39/1000</f>
        <v>5.773880000000001</v>
      </c>
      <c r="G40" s="116">
        <f>G39/1000</f>
        <v>0.2908</v>
      </c>
      <c r="H40" s="117">
        <f t="shared" ref="H40:I40" si="23">H39/1000</f>
        <v>0.50960000000000005</v>
      </c>
      <c r="I40" s="117">
        <f t="shared" si="23"/>
        <v>11.532</v>
      </c>
      <c r="J40" s="222">
        <f>J39/1000</f>
        <v>12.332400000000002</v>
      </c>
      <c r="K40" s="116">
        <f>K39/1000</f>
        <v>0.45919999999999994</v>
      </c>
      <c r="L40" s="117">
        <f t="shared" ref="L40:M40" si="24">L39/1000</f>
        <v>0.34528000000000009</v>
      </c>
      <c r="M40" s="117">
        <f t="shared" si="24"/>
        <v>2.4449999999999998</v>
      </c>
      <c r="N40" s="222">
        <f>N39/1000</f>
        <v>3.2494799999999997</v>
      </c>
      <c r="O40" s="116">
        <f>O39/1000</f>
        <v>0.48240000000000011</v>
      </c>
      <c r="P40" s="117">
        <f t="shared" ref="P40:Q40" si="25">P39/1000</f>
        <v>0.66508</v>
      </c>
      <c r="Q40" s="117">
        <f t="shared" si="25"/>
        <v>19.033000000000001</v>
      </c>
      <c r="R40" s="222">
        <f>R39/1000</f>
        <v>20.180480000000006</v>
      </c>
      <c r="S40" s="116">
        <f>S39/1000</f>
        <v>0</v>
      </c>
      <c r="T40" s="117">
        <f t="shared" ref="T40" si="26">T39/1000</f>
        <v>0.31719999999999993</v>
      </c>
      <c r="U40" s="117">
        <f>U39/1000</f>
        <v>3.0630000000000002</v>
      </c>
      <c r="V40" s="222">
        <f>V39/1000</f>
        <v>3.3802000000000003</v>
      </c>
      <c r="W40" s="116">
        <f>W39/1000</f>
        <v>0</v>
      </c>
      <c r="X40" s="117">
        <f t="shared" ref="X40:Y40" si="27">X39/1000</f>
        <v>0.45239999999999991</v>
      </c>
      <c r="Y40" s="117">
        <f t="shared" si="27"/>
        <v>4.093</v>
      </c>
      <c r="Z40" s="222">
        <f>Z39/1000</f>
        <v>4.545399999999999</v>
      </c>
      <c r="AA40" s="223">
        <f>AA39/1000</f>
        <v>49.461840000000002</v>
      </c>
      <c r="AB40" s="224" t="s">
        <v>52</v>
      </c>
      <c r="AC40" s="63"/>
      <c r="AD40" s="73" t="s">
        <v>97</v>
      </c>
      <c r="AE40" s="74"/>
      <c r="AF40" s="75">
        <f>AF39/1000</f>
        <v>1.2323999999999999</v>
      </c>
      <c r="AG40" s="75">
        <f t="shared" ref="AG40:AH40" si="28">AG39/1000</f>
        <v>2.54644</v>
      </c>
      <c r="AH40" s="76">
        <f t="shared" si="28"/>
        <v>45.683</v>
      </c>
      <c r="AI40" s="68"/>
      <c r="AJ40" s="61" t="s">
        <v>95</v>
      </c>
      <c r="AK40" s="69"/>
      <c r="AL40" s="77">
        <f>AL39/1000</f>
        <v>1.2323999999999999</v>
      </c>
      <c r="AM40" s="78">
        <f>AL40/AA40</f>
        <v>2.491617780495024E-2</v>
      </c>
      <c r="AN40" s="77">
        <f>AN39/1000</f>
        <v>2.54644</v>
      </c>
      <c r="AO40" s="79">
        <f>AN40/AA40</f>
        <v>5.1482920975038531E-2</v>
      </c>
      <c r="AP40" s="77">
        <f>AP39/1000</f>
        <v>45.683</v>
      </c>
      <c r="AQ40" s="79">
        <f>AP40/AA40</f>
        <v>0.92360090122001115</v>
      </c>
    </row>
    <row r="41" spans="1:43" s="60" customFormat="1" ht="33.75" customHeight="1" thickBot="1" x14ac:dyDescent="0.3">
      <c r="A41" s="308" t="s">
        <v>74</v>
      </c>
      <c r="B41" s="309"/>
      <c r="C41" s="114">
        <f>_xlfn.AGGREGATE(1,7,C8:C38)</f>
        <v>0</v>
      </c>
      <c r="D41" s="114">
        <f>_xlfn.AGGREGATE(1,7,D8:D38)</f>
        <v>8.2864516129032264</v>
      </c>
      <c r="E41" s="114">
        <f>_xlfn.AGGREGATE(1,7,E8:E38)</f>
        <v>177.96774193548387</v>
      </c>
      <c r="F41" s="222">
        <f>AVERAGEIF(F8:F38,"&gt;0")</f>
        <v>213.84740740740745</v>
      </c>
      <c r="G41" s="114">
        <f>_xlfn.AGGREGATE(1,7,G8:G38)</f>
        <v>9.3806451612903228</v>
      </c>
      <c r="H41" s="114">
        <f>_xlfn.AGGREGATE(1,7,H8:H38)</f>
        <v>16.438709677419357</v>
      </c>
      <c r="I41" s="114">
        <f>_xlfn.AGGREGATE(1,7,I8:I38)</f>
        <v>372</v>
      </c>
      <c r="J41" s="222">
        <f>AVERAGEIF(J8:J38,"&gt;0")</f>
        <v>440.44285714285718</v>
      </c>
      <c r="K41" s="114">
        <f>_xlfn.AGGREGATE(1,7,K8:K38)</f>
        <v>14.812903225806449</v>
      </c>
      <c r="L41" s="114">
        <f>_xlfn.AGGREGATE(1,7,L8:L38)</f>
        <v>11.138064516129035</v>
      </c>
      <c r="M41" s="114">
        <f>_xlfn.AGGREGATE(1,7,M8:M38)</f>
        <v>78.870967741935488</v>
      </c>
      <c r="N41" s="222">
        <f>AVERAGEIF(N8:N38,"&gt;0")</f>
        <v>104.82193548387096</v>
      </c>
      <c r="O41" s="114">
        <f>_xlfn.AGGREGATE(1,7,O8:O38)</f>
        <v>15.561290322580648</v>
      </c>
      <c r="P41" s="114">
        <f>_xlfn.AGGREGATE(1,7,P8:P38)</f>
        <v>21.454193548387099</v>
      </c>
      <c r="Q41" s="114">
        <f>_xlfn.AGGREGATE(1,7,Q8:Q38)</f>
        <v>613.9677419354839</v>
      </c>
      <c r="R41" s="222">
        <f>AVERAGEIF(R8:R38,"&gt;0")</f>
        <v>650.98322580645186</v>
      </c>
      <c r="S41" s="114">
        <f>_xlfn.AGGREGATE(1,7,S8:S38)</f>
        <v>0</v>
      </c>
      <c r="T41" s="114">
        <f>_xlfn.AGGREGATE(1,7,T8:T38)</f>
        <v>10.232258064516127</v>
      </c>
      <c r="U41" s="114">
        <f>_xlfn.AGGREGATE(1,7,U8:U38)</f>
        <v>113.44444444444444</v>
      </c>
      <c r="V41" s="222">
        <f>AVERAGEIF(V8:V38,"&gt;0")</f>
        <v>116.55862068965519</v>
      </c>
      <c r="W41" s="114">
        <f>_xlfn.AGGREGATE(1,7,W8:W38)</f>
        <v>0</v>
      </c>
      <c r="X41" s="114">
        <f>_xlfn.AGGREGATE(1,7,X8:X38)</f>
        <v>16.157142857142855</v>
      </c>
      <c r="Y41" s="114">
        <f>_xlfn.AGGREGATE(1,7,Y8:Y38)</f>
        <v>132.03225806451613</v>
      </c>
      <c r="Z41" s="222">
        <f>AVERAGEIF(Z8:Z38,"&gt;0")</f>
        <v>168.34814814814811</v>
      </c>
      <c r="AA41" s="223">
        <f>AVERAGEIF(AA8:AA38,"&gt;0")</f>
        <v>1595.5432258064518</v>
      </c>
      <c r="AB41" s="225" t="s">
        <v>75</v>
      </c>
      <c r="AC41" s="63"/>
      <c r="AD41" s="73" t="s">
        <v>98</v>
      </c>
      <c r="AE41" s="74"/>
      <c r="AF41" s="80">
        <f>AVERAGEIF(AF8:AF38,"&gt;0")</f>
        <v>39.754838709677415</v>
      </c>
      <c r="AG41" s="80">
        <f>AVERAGEIF(AG8:AG38,"&gt;0")</f>
        <v>82.143225806451611</v>
      </c>
      <c r="AH41" s="80">
        <f>AVERAGEIF(AH8:AH38,"&gt;0")</f>
        <v>1691.962962962963</v>
      </c>
      <c r="AI41" s="68"/>
      <c r="AJ41" s="61" t="s">
        <v>99</v>
      </c>
      <c r="AK41" s="69"/>
      <c r="AL41" s="80">
        <f>AVERAGEIF(AL8:AL38,"&gt;0")</f>
        <v>39.754838709677415</v>
      </c>
      <c r="AM41" s="81" t="s">
        <v>64</v>
      </c>
      <c r="AN41" s="80">
        <f>AVERAGEIF(AN8:AN38,"&gt;0")</f>
        <v>82.143225806451611</v>
      </c>
      <c r="AO41" s="79" t="s">
        <v>64</v>
      </c>
      <c r="AP41" s="80">
        <f>AVERAGEIF(AP8:AP38,"&gt;0")</f>
        <v>1691.962962962963</v>
      </c>
      <c r="AQ41" s="79" t="s">
        <v>64</v>
      </c>
    </row>
    <row r="42" spans="1:43" x14ac:dyDescent="0.25">
      <c r="A42" s="128"/>
      <c r="B42" s="128"/>
      <c r="C42" s="129"/>
      <c r="D42" s="129"/>
      <c r="E42" s="129"/>
      <c r="F42" s="89"/>
      <c r="G42" s="129"/>
      <c r="H42" s="129"/>
      <c r="I42" s="129"/>
      <c r="J42" s="89" t="s">
        <v>61</v>
      </c>
      <c r="K42" s="129"/>
      <c r="L42" s="129"/>
      <c r="M42" s="129"/>
      <c r="N42" s="89"/>
      <c r="O42" s="129"/>
      <c r="P42" s="129"/>
      <c r="Q42" s="129"/>
      <c r="R42" s="89"/>
      <c r="S42" s="129"/>
      <c r="T42" s="129"/>
      <c r="U42" s="129"/>
      <c r="V42" s="89"/>
      <c r="W42" s="129"/>
      <c r="X42" s="129"/>
      <c r="Y42" s="129"/>
      <c r="Z42" s="89"/>
      <c r="AA42" s="91"/>
      <c r="AB42" s="98"/>
    </row>
    <row r="44" spans="1:43" x14ac:dyDescent="0.25">
      <c r="A44" s="1" t="s">
        <v>61</v>
      </c>
      <c r="C44" s="11" t="s">
        <v>50</v>
      </c>
      <c r="D44" s="8"/>
    </row>
    <row r="45" spans="1:43" x14ac:dyDescent="0.25">
      <c r="C45" s="9"/>
      <c r="D45" s="8" t="s">
        <v>133</v>
      </c>
    </row>
    <row r="46" spans="1:43" x14ac:dyDescent="0.25">
      <c r="C46" s="52"/>
      <c r="D46" s="8" t="s">
        <v>100</v>
      </c>
    </row>
    <row r="47" spans="1:43" x14ac:dyDescent="0.25">
      <c r="C47" s="54"/>
      <c r="D47" s="8" t="s">
        <v>100</v>
      </c>
    </row>
    <row r="48" spans="1:43" x14ac:dyDescent="0.25">
      <c r="C48" s="53"/>
      <c r="D48" s="8" t="s">
        <v>100</v>
      </c>
    </row>
    <row r="49" spans="3:5" x14ac:dyDescent="0.25">
      <c r="C49" s="55"/>
      <c r="D49" s="8" t="s">
        <v>100</v>
      </c>
    </row>
    <row r="50" spans="3:5" x14ac:dyDescent="0.25">
      <c r="C50" s="40"/>
      <c r="D50" s="8" t="s">
        <v>100</v>
      </c>
    </row>
    <row r="51" spans="3:5" x14ac:dyDescent="0.25">
      <c r="E51" s="2" t="s">
        <v>61</v>
      </c>
    </row>
  </sheetData>
  <sheetProtection algorithmName="SHA-512" hashValue="tN5/aK+pkZRWmykiiYlTzqqbxP2azseMCgLs+RRKGuF09mzS8zeaP4V5iZ49kapIS/+4RcgX2PZJFxOOuyGyng==" saltValue="yZ4r/zYx3OWBb/uN85jC9g==" spinCount="100000" sheet="1" objects="1" scenarios="1" formatColumns="0" formatRows="0"/>
  <mergeCells count="14">
    <mergeCell ref="A41:B41"/>
    <mergeCell ref="W6:Y6"/>
    <mergeCell ref="A4:A7"/>
    <mergeCell ref="B4:B7"/>
    <mergeCell ref="A39:B39"/>
    <mergeCell ref="A40:B40"/>
    <mergeCell ref="AJ6:AQ6"/>
    <mergeCell ref="AA3:AA7"/>
    <mergeCell ref="AB3:AB7"/>
    <mergeCell ref="C6:E6"/>
    <mergeCell ref="G6:I6"/>
    <mergeCell ref="K6:M6"/>
    <mergeCell ref="O6:Q6"/>
    <mergeCell ref="S6:U6"/>
  </mergeCells>
  <printOptions horizontalCentered="1"/>
  <pageMargins left="0.19685039370078741" right="0.19685039370078741" top="0.39370078740157483" bottom="0.39370078740157483" header="0.11811023622047245" footer="0.11811023622047245"/>
  <pageSetup paperSize="9" scale="6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B5FE5-9B70-4D76-8F94-DF63DF5C8A95}">
  <sheetPr>
    <tabColor rgb="FFFFFF00"/>
    <pageSetUpPr fitToPage="1"/>
  </sheetPr>
  <dimension ref="A1:AQ51"/>
  <sheetViews>
    <sheetView showGridLines="0" view="pageBreakPreview" zoomScale="83" zoomScaleNormal="115" zoomScaleSheetLayoutView="83" workbookViewId="0">
      <pane xSplit="2" ySplit="7" topLeftCell="G8" activePane="bottomRight" state="frozen"/>
      <selection activeCell="H31" sqref="H31"/>
      <selection pane="topRight" activeCell="H31" sqref="H31"/>
      <selection pane="bottomLeft" activeCell="H31" sqref="H31"/>
      <selection pane="bottomRight" activeCell="X8" activeCellId="5" sqref="D8:D37 H8:H37 L8:L37 P8:P37 T8:T37 X8:X36"/>
    </sheetView>
  </sheetViews>
  <sheetFormatPr defaultColWidth="9.140625" defaultRowHeight="15" x14ac:dyDescent="0.25"/>
  <cols>
    <col min="1" max="1" width="11.42578125" style="128" customWidth="1"/>
    <col min="2" max="2" width="7.28515625" style="128" customWidth="1"/>
    <col min="3" max="5" width="8.140625" style="129" customWidth="1"/>
    <col min="6" max="6" width="8.140625" style="89" customWidth="1"/>
    <col min="7" max="9" width="8.140625" style="129" customWidth="1"/>
    <col min="10" max="10" width="8.140625" style="89" customWidth="1"/>
    <col min="11" max="13" width="8.140625" style="129" customWidth="1"/>
    <col min="14" max="14" width="8.140625" style="89" customWidth="1"/>
    <col min="15" max="17" width="8.140625" style="129" customWidth="1"/>
    <col min="18" max="18" width="8.140625" style="89" customWidth="1"/>
    <col min="19" max="21" width="8.140625" style="129" customWidth="1"/>
    <col min="22" max="22" width="8.140625" style="89" customWidth="1"/>
    <col min="23" max="25" width="8.140625" style="129" customWidth="1"/>
    <col min="26" max="26" width="8.140625" style="89" customWidth="1"/>
    <col min="27" max="27" width="10.42578125" style="91" customWidth="1"/>
    <col min="28" max="28" width="12" style="98" customWidth="1"/>
    <col min="29" max="29" width="8.5703125" style="98" hidden="1" customWidth="1"/>
    <col min="30" max="30" width="14.140625" style="129" hidden="1" customWidth="1"/>
    <col min="31" max="31" width="14.7109375" style="129" hidden="1" customWidth="1"/>
    <col min="32" max="32" width="11.7109375" style="129" hidden="1" customWidth="1"/>
    <col min="33" max="34" width="10.7109375" style="129" hidden="1" customWidth="1"/>
    <col min="35" max="35" width="8.5703125" style="129" hidden="1" customWidth="1"/>
    <col min="36" max="36" width="15.85546875" style="129" hidden="1" customWidth="1"/>
    <col min="37" max="37" width="14.7109375" style="129" hidden="1" customWidth="1"/>
    <col min="38" max="38" width="7.7109375" style="129" hidden="1" customWidth="1"/>
    <col min="39" max="39" width="11.5703125" style="129" hidden="1" customWidth="1"/>
    <col min="40" max="40" width="6.5703125" style="129" hidden="1" customWidth="1"/>
    <col min="41" max="41" width="11.85546875" style="129" hidden="1" customWidth="1"/>
    <col min="42" max="42" width="6.5703125" style="129" hidden="1" customWidth="1"/>
    <col min="43" max="43" width="11.85546875" style="129" hidden="1" customWidth="1"/>
    <col min="44" max="16384" width="9.140625" style="98"/>
  </cols>
  <sheetData>
    <row r="1" spans="1:43" x14ac:dyDescent="0.25">
      <c r="A1" s="226" t="s">
        <v>116</v>
      </c>
      <c r="B1" s="227" t="str">
        <f>'Rekap Neraca Pengelolaan Sampah'!C3</f>
        <v>PT PELINDO DAYA SEJAHTERA</v>
      </c>
    </row>
    <row r="2" spans="1:43" ht="15.75" thickBot="1" x14ac:dyDescent="0.3">
      <c r="A2" s="226" t="s">
        <v>42</v>
      </c>
      <c r="B2" s="227">
        <f>'Rekap Neraca Pengelolaan Sampah'!D2</f>
        <v>2024</v>
      </c>
    </row>
    <row r="3" spans="1:43" ht="15.75" thickBot="1" x14ac:dyDescent="0.3">
      <c r="A3" s="160" t="s">
        <v>2</v>
      </c>
      <c r="B3" s="82" t="s">
        <v>134</v>
      </c>
      <c r="C3" s="160" t="s">
        <v>36</v>
      </c>
      <c r="D3" s="90"/>
      <c r="E3" s="90"/>
      <c r="F3" s="82"/>
      <c r="G3" s="160" t="s">
        <v>36</v>
      </c>
      <c r="H3" s="90"/>
      <c r="I3" s="90"/>
      <c r="J3" s="90"/>
      <c r="K3" s="160" t="s">
        <v>36</v>
      </c>
      <c r="L3" s="90"/>
      <c r="M3" s="90"/>
      <c r="N3" s="90"/>
      <c r="O3" s="160" t="s">
        <v>36</v>
      </c>
      <c r="P3" s="90"/>
      <c r="Q3" s="90"/>
      <c r="R3" s="90"/>
      <c r="S3" s="160" t="s">
        <v>36</v>
      </c>
      <c r="T3" s="90"/>
      <c r="U3" s="90"/>
      <c r="V3" s="90"/>
      <c r="W3" s="160" t="s">
        <v>36</v>
      </c>
      <c r="X3" s="90"/>
      <c r="Y3" s="90"/>
      <c r="Z3" s="90"/>
      <c r="AA3" s="297" t="s">
        <v>125</v>
      </c>
      <c r="AB3" s="300" t="s">
        <v>57</v>
      </c>
      <c r="AD3" s="161" t="s">
        <v>54</v>
      </c>
      <c r="AE3" s="162"/>
      <c r="AF3" s="162"/>
      <c r="AG3" s="162"/>
      <c r="AH3" s="163"/>
      <c r="AI3" s="91"/>
      <c r="AJ3" s="164" t="s">
        <v>56</v>
      </c>
      <c r="AK3" s="165"/>
      <c r="AL3" s="165"/>
      <c r="AM3" s="165"/>
      <c r="AN3" s="165"/>
      <c r="AO3" s="165"/>
      <c r="AP3" s="165"/>
      <c r="AQ3" s="165"/>
    </row>
    <row r="4" spans="1:43" ht="15" customHeight="1" x14ac:dyDescent="0.25">
      <c r="A4" s="310" t="s">
        <v>0</v>
      </c>
      <c r="B4" s="313" t="s">
        <v>87</v>
      </c>
      <c r="C4" s="98" t="s">
        <v>37</v>
      </c>
      <c r="D4" s="98"/>
      <c r="E4" s="98"/>
      <c r="F4" s="83"/>
      <c r="G4" s="166" t="s">
        <v>37</v>
      </c>
      <c r="H4" s="98"/>
      <c r="I4" s="98"/>
      <c r="J4" s="91"/>
      <c r="K4" s="166" t="s">
        <v>37</v>
      </c>
      <c r="L4" s="98"/>
      <c r="M4" s="98"/>
      <c r="N4" s="91"/>
      <c r="O4" s="166" t="s">
        <v>37</v>
      </c>
      <c r="P4" s="98"/>
      <c r="Q4" s="98"/>
      <c r="R4" s="91"/>
      <c r="S4" s="166" t="s">
        <v>37</v>
      </c>
      <c r="T4" s="98"/>
      <c r="U4" s="98"/>
      <c r="V4" s="91"/>
      <c r="W4" s="166" t="s">
        <v>37</v>
      </c>
      <c r="X4" s="98"/>
      <c r="Y4" s="98"/>
      <c r="Z4" s="91"/>
      <c r="AA4" s="298"/>
      <c r="AB4" s="301"/>
      <c r="AD4" s="167" t="s">
        <v>55</v>
      </c>
      <c r="AE4" s="168"/>
      <c r="AF4" s="168"/>
      <c r="AG4" s="169"/>
      <c r="AH4" s="170"/>
      <c r="AI4" s="98"/>
      <c r="AJ4" s="171" t="s">
        <v>126</v>
      </c>
      <c r="AK4" s="172"/>
      <c r="AL4" s="172"/>
      <c r="AM4" s="173"/>
      <c r="AN4" s="173"/>
      <c r="AO4" s="173"/>
      <c r="AP4" s="173"/>
      <c r="AQ4" s="173"/>
    </row>
    <row r="5" spans="1:43" ht="15.75" thickBot="1" x14ac:dyDescent="0.3">
      <c r="A5" s="311"/>
      <c r="B5" s="314"/>
      <c r="C5" s="91" t="s">
        <v>3</v>
      </c>
      <c r="D5" s="91"/>
      <c r="E5" s="91"/>
      <c r="F5" s="83"/>
      <c r="G5" s="174" t="s">
        <v>3</v>
      </c>
      <c r="H5" s="91"/>
      <c r="I5" s="91"/>
      <c r="J5" s="91"/>
      <c r="K5" s="174" t="s">
        <v>3</v>
      </c>
      <c r="L5" s="91"/>
      <c r="M5" s="91"/>
      <c r="N5" s="91"/>
      <c r="O5" s="174" t="s">
        <v>3</v>
      </c>
      <c r="P5" s="91"/>
      <c r="Q5" s="91"/>
      <c r="R5" s="91"/>
      <c r="S5" s="174" t="s">
        <v>3</v>
      </c>
      <c r="T5" s="91"/>
      <c r="U5" s="91"/>
      <c r="V5" s="91"/>
      <c r="W5" s="174" t="s">
        <v>3</v>
      </c>
      <c r="X5" s="91"/>
      <c r="Y5" s="91"/>
      <c r="Z5" s="91"/>
      <c r="AA5" s="298"/>
      <c r="AB5" s="301"/>
      <c r="AD5" s="175" t="s">
        <v>37</v>
      </c>
      <c r="AE5" s="169"/>
      <c r="AF5" s="169"/>
      <c r="AG5" s="168"/>
      <c r="AH5" s="176"/>
      <c r="AI5" s="91"/>
      <c r="AJ5" s="177" t="s">
        <v>91</v>
      </c>
      <c r="AK5" s="178" t="str">
        <f>B3</f>
        <v>Nopember</v>
      </c>
      <c r="AL5" s="178" t="s">
        <v>63</v>
      </c>
      <c r="AM5" s="178" t="str">
        <f>B4</f>
        <v>Tanggal</v>
      </c>
      <c r="AN5" s="179"/>
      <c r="AO5" s="179"/>
      <c r="AP5" s="179"/>
      <c r="AQ5" s="179"/>
    </row>
    <row r="6" spans="1:43" ht="30.75" customHeight="1" thickBot="1" x14ac:dyDescent="0.3">
      <c r="A6" s="311"/>
      <c r="B6" s="314"/>
      <c r="C6" s="316" t="s">
        <v>109</v>
      </c>
      <c r="D6" s="303"/>
      <c r="E6" s="303"/>
      <c r="F6" s="84"/>
      <c r="G6" s="304" t="s">
        <v>123</v>
      </c>
      <c r="H6" s="305"/>
      <c r="I6" s="305"/>
      <c r="J6" s="92"/>
      <c r="K6" s="306" t="s">
        <v>111</v>
      </c>
      <c r="L6" s="307"/>
      <c r="M6" s="307"/>
      <c r="N6" s="93"/>
      <c r="O6" s="306" t="s">
        <v>115</v>
      </c>
      <c r="P6" s="307"/>
      <c r="Q6" s="307"/>
      <c r="R6" s="93"/>
      <c r="S6" s="304" t="s">
        <v>124</v>
      </c>
      <c r="T6" s="305"/>
      <c r="U6" s="305"/>
      <c r="V6" s="92"/>
      <c r="W6" s="304" t="s">
        <v>84</v>
      </c>
      <c r="X6" s="305"/>
      <c r="Y6" s="305"/>
      <c r="Z6" s="93"/>
      <c r="AA6" s="298"/>
      <c r="AB6" s="301"/>
      <c r="AD6" s="180" t="s">
        <v>91</v>
      </c>
      <c r="AE6" s="181" t="str">
        <f>B3</f>
        <v>Nopember</v>
      </c>
      <c r="AF6" s="181" t="s">
        <v>63</v>
      </c>
      <c r="AG6" s="169" t="str">
        <f>B4</f>
        <v>Tanggal</v>
      </c>
      <c r="AH6" s="170"/>
      <c r="AI6" s="98"/>
      <c r="AJ6" s="296" t="s">
        <v>93</v>
      </c>
      <c r="AK6" s="296"/>
      <c r="AL6" s="296"/>
      <c r="AM6" s="296"/>
      <c r="AN6" s="296"/>
      <c r="AO6" s="296"/>
      <c r="AP6" s="296"/>
      <c r="AQ6" s="296"/>
    </row>
    <row r="7" spans="1:43" s="191" customFormat="1" ht="120.75" customHeight="1" thickBot="1" x14ac:dyDescent="0.3">
      <c r="A7" s="312"/>
      <c r="B7" s="315"/>
      <c r="C7" s="184" t="s">
        <v>85</v>
      </c>
      <c r="D7" s="182" t="s">
        <v>108</v>
      </c>
      <c r="E7" s="183" t="s">
        <v>145</v>
      </c>
      <c r="F7" s="85" t="s">
        <v>131</v>
      </c>
      <c r="G7" s="184" t="s">
        <v>85</v>
      </c>
      <c r="H7" s="182" t="s">
        <v>108</v>
      </c>
      <c r="I7" s="183" t="s">
        <v>145</v>
      </c>
      <c r="J7" s="85" t="s">
        <v>131</v>
      </c>
      <c r="K7" s="184" t="s">
        <v>85</v>
      </c>
      <c r="L7" s="182" t="s">
        <v>108</v>
      </c>
      <c r="M7" s="183" t="s">
        <v>145</v>
      </c>
      <c r="N7" s="85" t="s">
        <v>131</v>
      </c>
      <c r="O7" s="184" t="s">
        <v>85</v>
      </c>
      <c r="P7" s="182" t="s">
        <v>108</v>
      </c>
      <c r="Q7" s="183" t="s">
        <v>145</v>
      </c>
      <c r="R7" s="85" t="s">
        <v>131</v>
      </c>
      <c r="S7" s="184" t="s">
        <v>85</v>
      </c>
      <c r="T7" s="182" t="s">
        <v>108</v>
      </c>
      <c r="U7" s="183" t="s">
        <v>145</v>
      </c>
      <c r="V7" s="85" t="s">
        <v>131</v>
      </c>
      <c r="W7" s="184" t="s">
        <v>85</v>
      </c>
      <c r="X7" s="182" t="s">
        <v>108</v>
      </c>
      <c r="Y7" s="183" t="s">
        <v>145</v>
      </c>
      <c r="Z7" s="85" t="s">
        <v>131</v>
      </c>
      <c r="AA7" s="299"/>
      <c r="AB7" s="302"/>
      <c r="AC7" s="185"/>
      <c r="AD7" s="186" t="s">
        <v>90</v>
      </c>
      <c r="AE7" s="187" t="s">
        <v>87</v>
      </c>
      <c r="AF7" s="188" t="s">
        <v>92</v>
      </c>
      <c r="AG7" s="188" t="s">
        <v>110</v>
      </c>
      <c r="AH7" s="188" t="s">
        <v>101</v>
      </c>
      <c r="AI7" s="185"/>
      <c r="AJ7" s="189" t="s">
        <v>90</v>
      </c>
      <c r="AK7" s="189" t="s">
        <v>87</v>
      </c>
      <c r="AL7" s="190" t="s">
        <v>40</v>
      </c>
      <c r="AM7" s="190" t="s">
        <v>60</v>
      </c>
      <c r="AN7" s="190" t="s">
        <v>38</v>
      </c>
      <c r="AO7" s="190" t="s">
        <v>39</v>
      </c>
      <c r="AP7" s="190" t="s">
        <v>103</v>
      </c>
      <c r="AQ7" s="190" t="s">
        <v>102</v>
      </c>
    </row>
    <row r="8" spans="1:43" x14ac:dyDescent="0.25">
      <c r="A8" s="154">
        <v>1</v>
      </c>
      <c r="B8" s="155" t="s">
        <v>4</v>
      </c>
      <c r="C8" s="257">
        <v>100</v>
      </c>
      <c r="D8" s="266">
        <v>45.292000000000009</v>
      </c>
      <c r="E8" s="258">
        <v>135</v>
      </c>
      <c r="F8" s="86">
        <f t="shared" ref="F8:F38" si="0">SUM(C8:E8)</f>
        <v>280.29200000000003</v>
      </c>
      <c r="G8" s="266">
        <v>750</v>
      </c>
      <c r="H8" s="266">
        <v>43.264000000000003</v>
      </c>
      <c r="I8" s="258">
        <v>200</v>
      </c>
      <c r="J8" s="86">
        <f t="shared" ref="J8:J38" si="1">SUM(G8:I8)</f>
        <v>993.26400000000001</v>
      </c>
      <c r="K8" s="266">
        <v>140</v>
      </c>
      <c r="L8" s="266">
        <v>10.14</v>
      </c>
      <c r="M8" s="258">
        <v>100</v>
      </c>
      <c r="N8" s="86">
        <f t="shared" ref="N8:N38" si="2">SUM(K8:M8)</f>
        <v>250.14</v>
      </c>
      <c r="O8" s="266">
        <v>758</v>
      </c>
      <c r="P8" s="266">
        <v>47.996000000000002</v>
      </c>
      <c r="Q8" s="258">
        <v>500</v>
      </c>
      <c r="R8" s="86">
        <f t="shared" ref="R8:R38" si="3">SUM(O8:Q8)</f>
        <v>1305.9960000000001</v>
      </c>
      <c r="S8" s="266">
        <v>200</v>
      </c>
      <c r="T8" s="266">
        <v>47.32</v>
      </c>
      <c r="U8" s="258">
        <v>60</v>
      </c>
      <c r="V8" s="86">
        <f t="shared" ref="V8:V38" si="4">SUM(S8:U8)</f>
        <v>307.32</v>
      </c>
      <c r="W8" s="266">
        <v>60</v>
      </c>
      <c r="X8" s="266">
        <v>27.040000000000003</v>
      </c>
      <c r="Y8" s="258">
        <v>100</v>
      </c>
      <c r="Z8" s="86">
        <f t="shared" ref="Z8:Z38" si="5">SUM(W8:Y8)</f>
        <v>187.04000000000002</v>
      </c>
      <c r="AA8" s="94">
        <f>(F8+J8+N8+R8+V8+Z8)</f>
        <v>3324.0520000000001</v>
      </c>
      <c r="AB8" s="95" t="s">
        <v>53</v>
      </c>
      <c r="AC8" s="138"/>
      <c r="AD8" s="139">
        <v>1</v>
      </c>
      <c r="AE8" s="140" t="s">
        <v>4</v>
      </c>
      <c r="AF8" s="141">
        <f t="shared" ref="AF8:AG16" si="6">(C8+G8+K8+O8+S8+W8)</f>
        <v>2008</v>
      </c>
      <c r="AG8" s="141">
        <f t="shared" si="6"/>
        <v>221.05199999999999</v>
      </c>
      <c r="AH8" s="141">
        <f t="shared" ref="AH8:AH16" si="7">(E8+I8+M8+Q8++U8+Y8)</f>
        <v>1095</v>
      </c>
      <c r="AI8" s="108"/>
      <c r="AJ8" s="142">
        <v>1</v>
      </c>
      <c r="AK8" s="143" t="s">
        <v>4</v>
      </c>
      <c r="AL8" s="144">
        <f t="shared" ref="AL8:AL38" si="8">AF8</f>
        <v>2008</v>
      </c>
      <c r="AM8" s="145">
        <f t="shared" ref="AM8:AM38" si="9">AL8/AA8</f>
        <v>0.60408200593733186</v>
      </c>
      <c r="AN8" s="144">
        <f>AG8</f>
        <v>221.05199999999999</v>
      </c>
      <c r="AO8" s="145">
        <f t="shared" ref="AO8:AO38" si="10">AN8/AA8</f>
        <v>6.6500764729312295E-2</v>
      </c>
      <c r="AP8" s="144">
        <f>AH8</f>
        <v>1095</v>
      </c>
      <c r="AQ8" s="145">
        <f t="shared" ref="AQ8:AQ38" si="11">AP8/AA8</f>
        <v>0.32941722933335577</v>
      </c>
    </row>
    <row r="9" spans="1:43" x14ac:dyDescent="0.25">
      <c r="A9" s="156">
        <v>2</v>
      </c>
      <c r="B9" s="157" t="s">
        <v>5</v>
      </c>
      <c r="C9" s="259">
        <v>50</v>
      </c>
      <c r="D9" s="266">
        <v>0</v>
      </c>
      <c r="E9" s="260">
        <v>150</v>
      </c>
      <c r="F9" s="87">
        <f t="shared" si="0"/>
        <v>200</v>
      </c>
      <c r="G9" s="266">
        <v>400</v>
      </c>
      <c r="H9" s="266">
        <v>0</v>
      </c>
      <c r="I9" s="260">
        <v>100</v>
      </c>
      <c r="J9" s="87">
        <f t="shared" si="1"/>
        <v>500</v>
      </c>
      <c r="K9" s="266">
        <v>0</v>
      </c>
      <c r="L9" s="266">
        <v>7.4360000000000008</v>
      </c>
      <c r="M9" s="260"/>
      <c r="N9" s="87">
        <f t="shared" si="2"/>
        <v>7.4360000000000008</v>
      </c>
      <c r="O9" s="266">
        <v>412.4</v>
      </c>
      <c r="P9" s="266">
        <v>6.7600000000000007</v>
      </c>
      <c r="Q9" s="260">
        <v>100</v>
      </c>
      <c r="R9" s="87">
        <f t="shared" si="3"/>
        <v>519.16</v>
      </c>
      <c r="S9" s="266">
        <v>120</v>
      </c>
      <c r="T9" s="266">
        <v>0</v>
      </c>
      <c r="U9" s="260">
        <v>50</v>
      </c>
      <c r="V9" s="87">
        <f t="shared" si="4"/>
        <v>170</v>
      </c>
      <c r="W9" s="266">
        <v>200</v>
      </c>
      <c r="X9" s="266">
        <v>0</v>
      </c>
      <c r="Y9" s="260">
        <v>50</v>
      </c>
      <c r="Z9" s="87">
        <f t="shared" si="5"/>
        <v>250</v>
      </c>
      <c r="AA9" s="94">
        <f t="shared" ref="AA9:AA38" si="12">(F9+J9+N9+R9+V9+Z9)</f>
        <v>1646.596</v>
      </c>
      <c r="AB9" s="96" t="s">
        <v>53</v>
      </c>
      <c r="AC9" s="138"/>
      <c r="AD9" s="146">
        <v>2</v>
      </c>
      <c r="AE9" s="147" t="s">
        <v>5</v>
      </c>
      <c r="AF9" s="141">
        <f t="shared" si="6"/>
        <v>1182.4000000000001</v>
      </c>
      <c r="AG9" s="141">
        <f t="shared" si="6"/>
        <v>14.196000000000002</v>
      </c>
      <c r="AH9" s="141">
        <f t="shared" si="7"/>
        <v>450</v>
      </c>
      <c r="AI9" s="108"/>
      <c r="AJ9" s="148">
        <v>2</v>
      </c>
      <c r="AK9" s="149" t="s">
        <v>5</v>
      </c>
      <c r="AL9" s="144">
        <f t="shared" si="8"/>
        <v>1182.4000000000001</v>
      </c>
      <c r="AM9" s="145">
        <f t="shared" si="9"/>
        <v>0.71808749687233542</v>
      </c>
      <c r="AN9" s="144">
        <f t="shared" ref="AN9:AN38" si="13">AG9</f>
        <v>14.196000000000002</v>
      </c>
      <c r="AO9" s="145">
        <f t="shared" si="10"/>
        <v>8.6214226197561528E-3</v>
      </c>
      <c r="AP9" s="144">
        <f t="shared" ref="AP9:AP38" si="14">AH9</f>
        <v>450</v>
      </c>
      <c r="AQ9" s="145">
        <f t="shared" si="11"/>
        <v>0.27329108050790846</v>
      </c>
    </row>
    <row r="10" spans="1:43" x14ac:dyDescent="0.25">
      <c r="A10" s="156">
        <v>3</v>
      </c>
      <c r="B10" s="157" t="s">
        <v>6</v>
      </c>
      <c r="C10" s="259">
        <v>0</v>
      </c>
      <c r="D10" s="266">
        <v>0</v>
      </c>
      <c r="E10" s="260">
        <v>0</v>
      </c>
      <c r="F10" s="87">
        <f t="shared" si="0"/>
        <v>0</v>
      </c>
      <c r="G10" s="266">
        <v>0</v>
      </c>
      <c r="H10" s="266">
        <v>0</v>
      </c>
      <c r="I10" s="260">
        <v>0</v>
      </c>
      <c r="J10" s="87">
        <f t="shared" si="1"/>
        <v>0</v>
      </c>
      <c r="K10" s="266">
        <v>0</v>
      </c>
      <c r="L10" s="266">
        <v>9.4639999999999986</v>
      </c>
      <c r="M10" s="260"/>
      <c r="N10" s="87">
        <f t="shared" si="2"/>
        <v>9.4639999999999986</v>
      </c>
      <c r="O10" s="266">
        <v>16.8</v>
      </c>
      <c r="P10" s="266">
        <v>18.927999999999997</v>
      </c>
      <c r="Q10" s="260">
        <v>0</v>
      </c>
      <c r="R10" s="87">
        <f t="shared" si="3"/>
        <v>35.727999999999994</v>
      </c>
      <c r="S10" s="266">
        <v>200</v>
      </c>
      <c r="T10" s="266">
        <v>6.7600000000000007</v>
      </c>
      <c r="U10" s="260">
        <v>80</v>
      </c>
      <c r="V10" s="87">
        <f t="shared" si="4"/>
        <v>286.76</v>
      </c>
      <c r="W10" s="266">
        <v>200</v>
      </c>
      <c r="X10" s="266">
        <v>0</v>
      </c>
      <c r="Y10" s="260">
        <v>50</v>
      </c>
      <c r="Z10" s="87">
        <f t="shared" si="5"/>
        <v>250</v>
      </c>
      <c r="AA10" s="94">
        <f t="shared" si="12"/>
        <v>581.952</v>
      </c>
      <c r="AB10" s="96" t="s">
        <v>53</v>
      </c>
      <c r="AC10" s="138"/>
      <c r="AD10" s="146">
        <v>3</v>
      </c>
      <c r="AE10" s="147" t="s">
        <v>6</v>
      </c>
      <c r="AF10" s="141">
        <f t="shared" si="6"/>
        <v>416.8</v>
      </c>
      <c r="AG10" s="141">
        <f t="shared" si="6"/>
        <v>35.151999999999994</v>
      </c>
      <c r="AH10" s="141">
        <f t="shared" si="7"/>
        <v>130</v>
      </c>
      <c r="AI10" s="108"/>
      <c r="AJ10" s="148">
        <v>3</v>
      </c>
      <c r="AK10" s="149" t="s">
        <v>6</v>
      </c>
      <c r="AL10" s="144">
        <f t="shared" si="8"/>
        <v>416.8</v>
      </c>
      <c r="AM10" s="145">
        <f t="shared" si="9"/>
        <v>0.71621027163752338</v>
      </c>
      <c r="AN10" s="144">
        <f t="shared" si="13"/>
        <v>35.151999999999994</v>
      </c>
      <c r="AO10" s="145">
        <f t="shared" si="10"/>
        <v>6.0403607170350808E-2</v>
      </c>
      <c r="AP10" s="144">
        <f t="shared" si="14"/>
        <v>130</v>
      </c>
      <c r="AQ10" s="145">
        <f t="shared" si="11"/>
        <v>0.22338612119212581</v>
      </c>
    </row>
    <row r="11" spans="1:43" x14ac:dyDescent="0.25">
      <c r="A11" s="156">
        <v>4</v>
      </c>
      <c r="B11" s="157" t="s">
        <v>7</v>
      </c>
      <c r="C11" s="259">
        <v>100</v>
      </c>
      <c r="D11" s="266">
        <v>25.687999999999999</v>
      </c>
      <c r="E11" s="260">
        <v>105</v>
      </c>
      <c r="F11" s="87">
        <f t="shared" si="0"/>
        <v>230.68799999999999</v>
      </c>
      <c r="G11" s="266">
        <v>548.4</v>
      </c>
      <c r="H11" s="266">
        <v>41.912000000000006</v>
      </c>
      <c r="I11" s="260">
        <v>300</v>
      </c>
      <c r="J11" s="87">
        <f t="shared" si="1"/>
        <v>890.31200000000001</v>
      </c>
      <c r="K11" s="266">
        <v>140</v>
      </c>
      <c r="L11" s="266">
        <v>25.012000000000004</v>
      </c>
      <c r="M11" s="260">
        <v>100</v>
      </c>
      <c r="N11" s="87">
        <f t="shared" si="2"/>
        <v>265.012</v>
      </c>
      <c r="O11" s="266">
        <v>1158.8</v>
      </c>
      <c r="P11" s="266">
        <v>45.292000000000009</v>
      </c>
      <c r="Q11" s="260">
        <v>800</v>
      </c>
      <c r="R11" s="87">
        <f t="shared" si="3"/>
        <v>2004.0919999999999</v>
      </c>
      <c r="S11" s="266">
        <v>220</v>
      </c>
      <c r="T11" s="266">
        <v>20.28</v>
      </c>
      <c r="U11" s="260">
        <v>50</v>
      </c>
      <c r="V11" s="87">
        <f t="shared" si="4"/>
        <v>290.27999999999997</v>
      </c>
      <c r="W11" s="266">
        <v>80</v>
      </c>
      <c r="X11" s="266">
        <v>20.28</v>
      </c>
      <c r="Y11" s="260">
        <v>100</v>
      </c>
      <c r="Z11" s="87">
        <f t="shared" si="5"/>
        <v>200.28</v>
      </c>
      <c r="AA11" s="94">
        <f t="shared" si="12"/>
        <v>3880.6640000000002</v>
      </c>
      <c r="AB11" s="96" t="s">
        <v>53</v>
      </c>
      <c r="AC11" s="138"/>
      <c r="AD11" s="146">
        <v>4</v>
      </c>
      <c r="AE11" s="147" t="s">
        <v>7</v>
      </c>
      <c r="AF11" s="141">
        <f t="shared" si="6"/>
        <v>2247.1999999999998</v>
      </c>
      <c r="AG11" s="141">
        <f t="shared" si="6"/>
        <v>178.46400000000003</v>
      </c>
      <c r="AH11" s="141">
        <f t="shared" si="7"/>
        <v>1455</v>
      </c>
      <c r="AI11" s="108"/>
      <c r="AJ11" s="148">
        <v>4</v>
      </c>
      <c r="AK11" s="149" t="s">
        <v>7</v>
      </c>
      <c r="AL11" s="144">
        <f t="shared" si="8"/>
        <v>2247.1999999999998</v>
      </c>
      <c r="AM11" s="145">
        <f t="shared" si="9"/>
        <v>0.5790761581007785</v>
      </c>
      <c r="AN11" s="144">
        <f t="shared" si="13"/>
        <v>178.46400000000003</v>
      </c>
      <c r="AO11" s="145">
        <f t="shared" si="10"/>
        <v>4.598800617626262E-2</v>
      </c>
      <c r="AP11" s="144">
        <f t="shared" si="14"/>
        <v>1455</v>
      </c>
      <c r="AQ11" s="145">
        <f t="shared" si="11"/>
        <v>0.37493583572295874</v>
      </c>
    </row>
    <row r="12" spans="1:43" x14ac:dyDescent="0.25">
      <c r="A12" s="156">
        <v>5</v>
      </c>
      <c r="B12" s="157" t="s">
        <v>8</v>
      </c>
      <c r="C12" s="259">
        <v>80</v>
      </c>
      <c r="D12" s="266">
        <v>18.252000000000002</v>
      </c>
      <c r="E12" s="260">
        <v>100</v>
      </c>
      <c r="F12" s="87">
        <f t="shared" si="0"/>
        <v>198.25200000000001</v>
      </c>
      <c r="G12" s="266">
        <v>772.4</v>
      </c>
      <c r="H12" s="266">
        <v>21.632000000000001</v>
      </c>
      <c r="I12" s="260">
        <v>200</v>
      </c>
      <c r="J12" s="87">
        <f t="shared" si="1"/>
        <v>994.03199999999993</v>
      </c>
      <c r="K12" s="266">
        <v>280</v>
      </c>
      <c r="L12" s="266">
        <v>6.0840000000000014</v>
      </c>
      <c r="M12" s="260">
        <v>100</v>
      </c>
      <c r="N12" s="87">
        <f t="shared" si="2"/>
        <v>386.084</v>
      </c>
      <c r="O12" s="266">
        <v>695.6</v>
      </c>
      <c r="P12" s="266">
        <v>20.956000000000003</v>
      </c>
      <c r="Q12" s="260">
        <v>500</v>
      </c>
      <c r="R12" s="87">
        <f t="shared" si="3"/>
        <v>1216.556</v>
      </c>
      <c r="S12" s="266">
        <v>60</v>
      </c>
      <c r="T12" s="266">
        <v>20.28</v>
      </c>
      <c r="U12" s="260">
        <v>50</v>
      </c>
      <c r="V12" s="87">
        <f t="shared" si="4"/>
        <v>130.28</v>
      </c>
      <c r="W12" s="266">
        <v>200</v>
      </c>
      <c r="X12" s="266">
        <v>27.040000000000003</v>
      </c>
      <c r="Y12" s="260">
        <v>50</v>
      </c>
      <c r="Z12" s="87">
        <f t="shared" si="5"/>
        <v>277.03999999999996</v>
      </c>
      <c r="AA12" s="94">
        <f t="shared" si="12"/>
        <v>3202.2440000000001</v>
      </c>
      <c r="AB12" s="96" t="s">
        <v>53</v>
      </c>
      <c r="AC12" s="138"/>
      <c r="AD12" s="146">
        <v>5</v>
      </c>
      <c r="AE12" s="147" t="s">
        <v>8</v>
      </c>
      <c r="AF12" s="141">
        <f t="shared" si="6"/>
        <v>2088</v>
      </c>
      <c r="AG12" s="141">
        <f t="shared" si="6"/>
        <v>114.24400000000001</v>
      </c>
      <c r="AH12" s="141">
        <f t="shared" si="7"/>
        <v>1000</v>
      </c>
      <c r="AI12" s="108"/>
      <c r="AJ12" s="148">
        <v>5</v>
      </c>
      <c r="AK12" s="149" t="s">
        <v>8</v>
      </c>
      <c r="AL12" s="144">
        <f t="shared" si="8"/>
        <v>2088</v>
      </c>
      <c r="AM12" s="145">
        <f t="shared" si="9"/>
        <v>0.65204275501804354</v>
      </c>
      <c r="AN12" s="144">
        <f t="shared" si="13"/>
        <v>114.24400000000001</v>
      </c>
      <c r="AO12" s="145">
        <f t="shared" si="10"/>
        <v>3.5676232042280355E-2</v>
      </c>
      <c r="AP12" s="144">
        <f t="shared" si="14"/>
        <v>1000</v>
      </c>
      <c r="AQ12" s="145">
        <f t="shared" si="11"/>
        <v>0.31228101293967603</v>
      </c>
    </row>
    <row r="13" spans="1:43" x14ac:dyDescent="0.25">
      <c r="A13" s="156">
        <v>6</v>
      </c>
      <c r="B13" s="157" t="s">
        <v>9</v>
      </c>
      <c r="C13" s="259">
        <v>100</v>
      </c>
      <c r="D13" s="266">
        <v>28.392000000000007</v>
      </c>
      <c r="E13" s="260">
        <v>120</v>
      </c>
      <c r="F13" s="87">
        <f t="shared" si="0"/>
        <v>248.392</v>
      </c>
      <c r="G13" s="266">
        <v>557.20000000000005</v>
      </c>
      <c r="H13" s="266">
        <v>39.884000000000007</v>
      </c>
      <c r="I13" s="260">
        <v>300</v>
      </c>
      <c r="J13" s="87">
        <f t="shared" si="1"/>
        <v>897.08400000000006</v>
      </c>
      <c r="K13" s="266">
        <v>148</v>
      </c>
      <c r="L13" s="266">
        <v>10.14</v>
      </c>
      <c r="M13" s="260">
        <v>100</v>
      </c>
      <c r="N13" s="87">
        <f t="shared" si="2"/>
        <v>258.14</v>
      </c>
      <c r="O13" s="266">
        <v>1010.4</v>
      </c>
      <c r="P13" s="266">
        <v>13.520000000000001</v>
      </c>
      <c r="Q13" s="260">
        <v>800</v>
      </c>
      <c r="R13" s="87">
        <f t="shared" si="3"/>
        <v>1823.92</v>
      </c>
      <c r="S13" s="266">
        <v>120</v>
      </c>
      <c r="T13" s="266">
        <v>27.040000000000003</v>
      </c>
      <c r="U13" s="260">
        <v>50</v>
      </c>
      <c r="V13" s="87">
        <f t="shared" si="4"/>
        <v>197.04</v>
      </c>
      <c r="W13" s="266">
        <v>80</v>
      </c>
      <c r="X13" s="266">
        <v>13.520000000000001</v>
      </c>
      <c r="Y13" s="260">
        <v>100</v>
      </c>
      <c r="Z13" s="87">
        <f t="shared" si="5"/>
        <v>193.51999999999998</v>
      </c>
      <c r="AA13" s="94">
        <f t="shared" si="12"/>
        <v>3618.096</v>
      </c>
      <c r="AB13" s="96" t="s">
        <v>53</v>
      </c>
      <c r="AC13" s="138"/>
      <c r="AD13" s="146">
        <v>6</v>
      </c>
      <c r="AE13" s="147" t="s">
        <v>9</v>
      </c>
      <c r="AF13" s="141">
        <f t="shared" si="6"/>
        <v>2015.6</v>
      </c>
      <c r="AG13" s="141">
        <f t="shared" si="6"/>
        <v>132.49600000000001</v>
      </c>
      <c r="AH13" s="141">
        <f t="shared" si="7"/>
        <v>1470</v>
      </c>
      <c r="AI13" s="108"/>
      <c r="AJ13" s="148">
        <v>6</v>
      </c>
      <c r="AK13" s="149" t="s">
        <v>9</v>
      </c>
      <c r="AL13" s="144">
        <f t="shared" si="8"/>
        <v>2015.6</v>
      </c>
      <c r="AM13" s="145">
        <f t="shared" si="9"/>
        <v>0.55708859024193935</v>
      </c>
      <c r="AN13" s="144">
        <f t="shared" si="13"/>
        <v>132.49600000000001</v>
      </c>
      <c r="AO13" s="145">
        <f t="shared" si="10"/>
        <v>3.6620366070994247E-2</v>
      </c>
      <c r="AP13" s="144">
        <f t="shared" si="14"/>
        <v>1470</v>
      </c>
      <c r="AQ13" s="145">
        <f t="shared" si="11"/>
        <v>0.40629104368706637</v>
      </c>
    </row>
    <row r="14" spans="1:43" x14ac:dyDescent="0.25">
      <c r="A14" s="156">
        <v>7</v>
      </c>
      <c r="B14" s="157" t="s">
        <v>10</v>
      </c>
      <c r="C14" s="259">
        <v>105</v>
      </c>
      <c r="D14" s="266">
        <v>20.956000000000003</v>
      </c>
      <c r="E14" s="260">
        <v>100</v>
      </c>
      <c r="F14" s="87">
        <f t="shared" si="0"/>
        <v>225.95600000000002</v>
      </c>
      <c r="G14" s="266">
        <v>347.6</v>
      </c>
      <c r="H14" s="266">
        <v>35.152000000000008</v>
      </c>
      <c r="I14" s="260">
        <v>250</v>
      </c>
      <c r="J14" s="87">
        <f t="shared" si="1"/>
        <v>632.75199999999995</v>
      </c>
      <c r="K14" s="266">
        <v>140</v>
      </c>
      <c r="L14" s="266">
        <v>9.4639999999999986</v>
      </c>
      <c r="M14" s="260">
        <v>100</v>
      </c>
      <c r="N14" s="87">
        <f t="shared" si="2"/>
        <v>249.464</v>
      </c>
      <c r="O14" s="266">
        <v>556</v>
      </c>
      <c r="P14" s="266">
        <v>48.672000000000011</v>
      </c>
      <c r="Q14" s="260">
        <v>700</v>
      </c>
      <c r="R14" s="87">
        <f t="shared" si="3"/>
        <v>1304.672</v>
      </c>
      <c r="S14" s="266">
        <v>120</v>
      </c>
      <c r="T14" s="266">
        <v>27.040000000000003</v>
      </c>
      <c r="U14" s="260">
        <v>70</v>
      </c>
      <c r="V14" s="87">
        <f t="shared" si="4"/>
        <v>217.04</v>
      </c>
      <c r="W14" s="266">
        <v>200</v>
      </c>
      <c r="X14" s="266">
        <v>13.520000000000001</v>
      </c>
      <c r="Y14" s="260">
        <v>50</v>
      </c>
      <c r="Z14" s="87">
        <f t="shared" si="5"/>
        <v>263.52</v>
      </c>
      <c r="AA14" s="94">
        <f t="shared" si="12"/>
        <v>2893.404</v>
      </c>
      <c r="AB14" s="96" t="s">
        <v>53</v>
      </c>
      <c r="AC14" s="138"/>
      <c r="AD14" s="146">
        <v>7</v>
      </c>
      <c r="AE14" s="147" t="s">
        <v>10</v>
      </c>
      <c r="AF14" s="141">
        <f t="shared" si="6"/>
        <v>1468.6</v>
      </c>
      <c r="AG14" s="141">
        <f t="shared" si="6"/>
        <v>154.80400000000003</v>
      </c>
      <c r="AH14" s="141">
        <f t="shared" si="7"/>
        <v>1270</v>
      </c>
      <c r="AI14" s="108"/>
      <c r="AJ14" s="148">
        <v>7</v>
      </c>
      <c r="AK14" s="149" t="s">
        <v>10</v>
      </c>
      <c r="AL14" s="144">
        <f t="shared" si="8"/>
        <v>1468.6</v>
      </c>
      <c r="AM14" s="145">
        <f t="shared" si="9"/>
        <v>0.50756824833310521</v>
      </c>
      <c r="AN14" s="144">
        <f t="shared" si="13"/>
        <v>154.80400000000003</v>
      </c>
      <c r="AO14" s="145">
        <f t="shared" si="10"/>
        <v>5.3502379895790576E-2</v>
      </c>
      <c r="AP14" s="144">
        <f t="shared" si="14"/>
        <v>1270</v>
      </c>
      <c r="AQ14" s="145">
        <f t="shared" si="11"/>
        <v>0.43892937177110419</v>
      </c>
    </row>
    <row r="15" spans="1:43" x14ac:dyDescent="0.25">
      <c r="A15" s="156">
        <v>8</v>
      </c>
      <c r="B15" s="157" t="s">
        <v>11</v>
      </c>
      <c r="C15" s="259">
        <v>55</v>
      </c>
      <c r="D15" s="266">
        <v>43.940000000000005</v>
      </c>
      <c r="E15" s="260">
        <v>50</v>
      </c>
      <c r="F15" s="87">
        <f t="shared" si="0"/>
        <v>148.94</v>
      </c>
      <c r="G15" s="266">
        <v>251.2</v>
      </c>
      <c r="H15" s="266">
        <v>27.040000000000003</v>
      </c>
      <c r="I15" s="260">
        <v>150</v>
      </c>
      <c r="J15" s="87">
        <f t="shared" si="1"/>
        <v>428.24</v>
      </c>
      <c r="K15" s="266">
        <v>0</v>
      </c>
      <c r="L15" s="266">
        <v>5.4080000000000004</v>
      </c>
      <c r="M15" s="260"/>
      <c r="N15" s="87">
        <f t="shared" si="2"/>
        <v>5.4080000000000004</v>
      </c>
      <c r="O15" s="266">
        <v>732.8</v>
      </c>
      <c r="P15" s="266">
        <v>28.392000000000007</v>
      </c>
      <c r="Q15" s="260">
        <v>300</v>
      </c>
      <c r="R15" s="87">
        <f t="shared" si="3"/>
        <v>1061.192</v>
      </c>
      <c r="S15" s="266">
        <v>160</v>
      </c>
      <c r="T15" s="266">
        <v>27.040000000000003</v>
      </c>
      <c r="U15" s="260">
        <v>50</v>
      </c>
      <c r="V15" s="87">
        <f t="shared" si="4"/>
        <v>237.04</v>
      </c>
      <c r="W15" s="266">
        <v>200</v>
      </c>
      <c r="X15" s="266">
        <v>20.28</v>
      </c>
      <c r="Y15" s="260">
        <v>50</v>
      </c>
      <c r="Z15" s="87">
        <f t="shared" si="5"/>
        <v>270.27999999999997</v>
      </c>
      <c r="AA15" s="94">
        <f t="shared" si="12"/>
        <v>2151.1000000000004</v>
      </c>
      <c r="AB15" s="96" t="s">
        <v>53</v>
      </c>
      <c r="AC15" s="138"/>
      <c r="AD15" s="146">
        <v>8</v>
      </c>
      <c r="AE15" s="147" t="s">
        <v>11</v>
      </c>
      <c r="AF15" s="141">
        <f t="shared" si="6"/>
        <v>1399</v>
      </c>
      <c r="AG15" s="141">
        <f t="shared" si="6"/>
        <v>152.10000000000002</v>
      </c>
      <c r="AH15" s="141">
        <f t="shared" si="7"/>
        <v>600</v>
      </c>
      <c r="AI15" s="108"/>
      <c r="AJ15" s="148">
        <v>8</v>
      </c>
      <c r="AK15" s="149" t="s">
        <v>11</v>
      </c>
      <c r="AL15" s="144">
        <f t="shared" si="8"/>
        <v>1399</v>
      </c>
      <c r="AM15" s="145">
        <f t="shared" si="9"/>
        <v>0.65036492957091707</v>
      </c>
      <c r="AN15" s="144">
        <f t="shared" si="13"/>
        <v>152.10000000000002</v>
      </c>
      <c r="AO15" s="145">
        <f t="shared" si="10"/>
        <v>7.0708009855422804E-2</v>
      </c>
      <c r="AP15" s="144">
        <f t="shared" si="14"/>
        <v>600</v>
      </c>
      <c r="AQ15" s="145">
        <f t="shared" si="11"/>
        <v>0.27892706057365996</v>
      </c>
    </row>
    <row r="16" spans="1:43" x14ac:dyDescent="0.25">
      <c r="A16" s="156">
        <v>9</v>
      </c>
      <c r="B16" s="157" t="s">
        <v>12</v>
      </c>
      <c r="C16" s="259">
        <v>50</v>
      </c>
      <c r="D16" s="266">
        <v>0</v>
      </c>
      <c r="E16" s="260">
        <v>68</v>
      </c>
      <c r="F16" s="87">
        <f t="shared" si="0"/>
        <v>118</v>
      </c>
      <c r="G16" s="266">
        <v>72</v>
      </c>
      <c r="H16" s="266">
        <v>6.7600000000000007</v>
      </c>
      <c r="I16" s="260">
        <v>100</v>
      </c>
      <c r="J16" s="87">
        <f t="shared" si="1"/>
        <v>178.76</v>
      </c>
      <c r="K16" s="266">
        <v>0</v>
      </c>
      <c r="L16" s="266">
        <v>7.4360000000000008</v>
      </c>
      <c r="M16" s="260"/>
      <c r="N16" s="87">
        <f t="shared" si="2"/>
        <v>7.4360000000000008</v>
      </c>
      <c r="O16" s="266">
        <v>212.4</v>
      </c>
      <c r="P16" s="266">
        <v>8.1120000000000001</v>
      </c>
      <c r="Q16" s="260">
        <v>70</v>
      </c>
      <c r="R16" s="87">
        <f t="shared" si="3"/>
        <v>290.512</v>
      </c>
      <c r="S16" s="266">
        <v>200</v>
      </c>
      <c r="T16" s="266">
        <v>0</v>
      </c>
      <c r="U16" s="260">
        <v>50</v>
      </c>
      <c r="V16" s="87">
        <f t="shared" si="4"/>
        <v>250</v>
      </c>
      <c r="W16" s="266">
        <v>200</v>
      </c>
      <c r="X16" s="266">
        <v>0</v>
      </c>
      <c r="Y16" s="260">
        <v>50</v>
      </c>
      <c r="Z16" s="87">
        <f t="shared" si="5"/>
        <v>250</v>
      </c>
      <c r="AA16" s="94">
        <f t="shared" si="12"/>
        <v>1094.7080000000001</v>
      </c>
      <c r="AB16" s="96" t="s">
        <v>53</v>
      </c>
      <c r="AC16" s="138"/>
      <c r="AD16" s="146">
        <v>9</v>
      </c>
      <c r="AE16" s="147" t="s">
        <v>12</v>
      </c>
      <c r="AF16" s="141">
        <f t="shared" si="6"/>
        <v>734.4</v>
      </c>
      <c r="AG16" s="141">
        <f t="shared" si="6"/>
        <v>22.308</v>
      </c>
      <c r="AH16" s="141">
        <f t="shared" si="7"/>
        <v>338</v>
      </c>
      <c r="AI16" s="108"/>
      <c r="AJ16" s="148">
        <v>9</v>
      </c>
      <c r="AK16" s="149" t="s">
        <v>12</v>
      </c>
      <c r="AL16" s="144">
        <f t="shared" si="8"/>
        <v>734.4</v>
      </c>
      <c r="AM16" s="145">
        <f t="shared" si="9"/>
        <v>0.67086382852779003</v>
      </c>
      <c r="AN16" s="144">
        <f t="shared" si="13"/>
        <v>22.308</v>
      </c>
      <c r="AO16" s="145">
        <f t="shared" si="10"/>
        <v>2.0378036882894798E-2</v>
      </c>
      <c r="AP16" s="144">
        <f t="shared" si="14"/>
        <v>338</v>
      </c>
      <c r="AQ16" s="145">
        <f t="shared" si="11"/>
        <v>0.30875813458931511</v>
      </c>
    </row>
    <row r="17" spans="1:43" x14ac:dyDescent="0.25">
      <c r="A17" s="156">
        <v>10</v>
      </c>
      <c r="B17" s="157" t="s">
        <v>13</v>
      </c>
      <c r="C17" s="259">
        <v>0</v>
      </c>
      <c r="D17" s="266">
        <v>0</v>
      </c>
      <c r="E17" s="260">
        <v>0</v>
      </c>
      <c r="F17" s="87">
        <f t="shared" si="0"/>
        <v>0</v>
      </c>
      <c r="G17" s="266">
        <v>0</v>
      </c>
      <c r="H17" s="266">
        <v>0</v>
      </c>
      <c r="I17" s="260">
        <v>0</v>
      </c>
      <c r="J17" s="87">
        <f t="shared" si="1"/>
        <v>0</v>
      </c>
      <c r="K17" s="266">
        <v>0</v>
      </c>
      <c r="L17" s="266">
        <v>20.956000000000003</v>
      </c>
      <c r="M17" s="260"/>
      <c r="N17" s="87">
        <f t="shared" si="2"/>
        <v>20.956000000000003</v>
      </c>
      <c r="O17" s="266">
        <v>16.399999999999999</v>
      </c>
      <c r="P17" s="266">
        <v>9.4639999999999986</v>
      </c>
      <c r="Q17" s="260">
        <v>0</v>
      </c>
      <c r="R17" s="87">
        <f t="shared" si="3"/>
        <v>25.863999999999997</v>
      </c>
      <c r="S17" s="266">
        <v>100</v>
      </c>
      <c r="T17" s="266">
        <v>0</v>
      </c>
      <c r="U17" s="260">
        <v>100</v>
      </c>
      <c r="V17" s="87">
        <f t="shared" si="4"/>
        <v>200</v>
      </c>
      <c r="W17" s="266">
        <v>200</v>
      </c>
      <c r="X17" s="266">
        <v>0</v>
      </c>
      <c r="Y17" s="260">
        <v>50</v>
      </c>
      <c r="Z17" s="87">
        <f t="shared" si="5"/>
        <v>250</v>
      </c>
      <c r="AA17" s="94">
        <f t="shared" si="12"/>
        <v>496.82</v>
      </c>
      <c r="AB17" s="96" t="s">
        <v>53</v>
      </c>
      <c r="AC17" s="138"/>
      <c r="AD17" s="146">
        <v>10</v>
      </c>
      <c r="AE17" s="147" t="s">
        <v>13</v>
      </c>
      <c r="AF17" s="141">
        <f>(C17+G17+K17+O17+S17+W17)</f>
        <v>316.39999999999998</v>
      </c>
      <c r="AG17" s="141">
        <f>(D17+H17+L17+P17+T17+X17)</f>
        <v>30.42</v>
      </c>
      <c r="AH17" s="141">
        <f>(E17+I17+M17+Q17++U17+Y17)</f>
        <v>150</v>
      </c>
      <c r="AI17" s="108"/>
      <c r="AJ17" s="148">
        <v>10</v>
      </c>
      <c r="AK17" s="149" t="s">
        <v>13</v>
      </c>
      <c r="AL17" s="144">
        <f t="shared" si="8"/>
        <v>316.39999999999998</v>
      </c>
      <c r="AM17" s="145">
        <f t="shared" si="9"/>
        <v>0.63685036834265929</v>
      </c>
      <c r="AN17" s="144">
        <f t="shared" si="13"/>
        <v>30.42</v>
      </c>
      <c r="AO17" s="145">
        <f t="shared" si="10"/>
        <v>6.1229419105511051E-2</v>
      </c>
      <c r="AP17" s="144">
        <f t="shared" si="14"/>
        <v>150</v>
      </c>
      <c r="AQ17" s="145">
        <f t="shared" si="11"/>
        <v>0.30192021255182966</v>
      </c>
    </row>
    <row r="18" spans="1:43" x14ac:dyDescent="0.25">
      <c r="A18" s="156">
        <v>11</v>
      </c>
      <c r="B18" s="157" t="s">
        <v>14</v>
      </c>
      <c r="C18" s="259">
        <v>119</v>
      </c>
      <c r="D18" s="266">
        <v>34.475999999999999</v>
      </c>
      <c r="E18" s="260">
        <v>200</v>
      </c>
      <c r="F18" s="87">
        <f t="shared" si="0"/>
        <v>353.476</v>
      </c>
      <c r="G18" s="266">
        <v>705.6</v>
      </c>
      <c r="H18" s="266">
        <v>34.475999999999999</v>
      </c>
      <c r="I18" s="260">
        <v>400</v>
      </c>
      <c r="J18" s="87">
        <f t="shared" si="1"/>
        <v>1140.076</v>
      </c>
      <c r="K18" s="266">
        <v>200</v>
      </c>
      <c r="L18" s="266">
        <v>6.7600000000000007</v>
      </c>
      <c r="M18" s="260">
        <v>100</v>
      </c>
      <c r="N18" s="87">
        <f t="shared" si="2"/>
        <v>306.76</v>
      </c>
      <c r="O18" s="266">
        <v>970.8</v>
      </c>
      <c r="P18" s="266">
        <v>38.532000000000004</v>
      </c>
      <c r="Q18" s="260">
        <v>600</v>
      </c>
      <c r="R18" s="87">
        <f t="shared" si="3"/>
        <v>1609.3319999999999</v>
      </c>
      <c r="S18" s="266">
        <v>320</v>
      </c>
      <c r="T18" s="266">
        <v>27.040000000000003</v>
      </c>
      <c r="U18" s="260">
        <v>100</v>
      </c>
      <c r="V18" s="87">
        <f t="shared" si="4"/>
        <v>447.04</v>
      </c>
      <c r="W18" s="266">
        <v>100</v>
      </c>
      <c r="X18" s="266">
        <v>20.28</v>
      </c>
      <c r="Y18" s="260">
        <v>100</v>
      </c>
      <c r="Z18" s="87">
        <f t="shared" si="5"/>
        <v>220.28</v>
      </c>
      <c r="AA18" s="94">
        <f t="shared" si="12"/>
        <v>4076.9640000000004</v>
      </c>
      <c r="AB18" s="96" t="s">
        <v>53</v>
      </c>
      <c r="AC18" s="138"/>
      <c r="AD18" s="146">
        <v>11</v>
      </c>
      <c r="AE18" s="147" t="s">
        <v>14</v>
      </c>
      <c r="AF18" s="141">
        <f t="shared" ref="AF18:AG38" si="15">(C18+G18+K18+O18+S18+W18)</f>
        <v>2415.3999999999996</v>
      </c>
      <c r="AG18" s="141">
        <f t="shared" si="15"/>
        <v>161.56399999999999</v>
      </c>
      <c r="AH18" s="141">
        <f t="shared" ref="AH18:AH38" si="16">(E18+I18+M18+Q18++U18+Y18)</f>
        <v>1500</v>
      </c>
      <c r="AI18" s="108"/>
      <c r="AJ18" s="148">
        <v>11</v>
      </c>
      <c r="AK18" s="149" t="s">
        <v>14</v>
      </c>
      <c r="AL18" s="144">
        <f t="shared" si="8"/>
        <v>2415.3999999999996</v>
      </c>
      <c r="AM18" s="145">
        <f t="shared" si="9"/>
        <v>0.59245065691038712</v>
      </c>
      <c r="AN18" s="144">
        <f t="shared" si="13"/>
        <v>161.56399999999999</v>
      </c>
      <c r="AO18" s="145">
        <f t="shared" si="10"/>
        <v>3.962850787988316E-2</v>
      </c>
      <c r="AP18" s="144">
        <f t="shared" si="14"/>
        <v>1500</v>
      </c>
      <c r="AQ18" s="145">
        <f t="shared" si="11"/>
        <v>0.36792083520972957</v>
      </c>
    </row>
    <row r="19" spans="1:43" x14ac:dyDescent="0.25">
      <c r="A19" s="156">
        <v>12</v>
      </c>
      <c r="B19" s="157" t="s">
        <v>15</v>
      </c>
      <c r="C19" s="259">
        <v>150</v>
      </c>
      <c r="D19" s="266">
        <v>19.603999999999999</v>
      </c>
      <c r="E19" s="260">
        <v>200</v>
      </c>
      <c r="F19" s="87">
        <f t="shared" si="0"/>
        <v>369.60399999999998</v>
      </c>
      <c r="G19" s="266">
        <v>706</v>
      </c>
      <c r="H19" s="266">
        <v>22.984000000000002</v>
      </c>
      <c r="I19" s="260">
        <v>300</v>
      </c>
      <c r="J19" s="87">
        <f t="shared" si="1"/>
        <v>1028.9839999999999</v>
      </c>
      <c r="K19" s="266">
        <v>400</v>
      </c>
      <c r="L19" s="266">
        <v>6.0840000000000014</v>
      </c>
      <c r="M19" s="260">
        <v>100</v>
      </c>
      <c r="N19" s="87">
        <f t="shared" si="2"/>
        <v>506.084</v>
      </c>
      <c r="O19" s="266">
        <v>1515.6</v>
      </c>
      <c r="P19" s="266">
        <v>35.828000000000003</v>
      </c>
      <c r="Q19" s="260">
        <v>800</v>
      </c>
      <c r="R19" s="87">
        <f t="shared" si="3"/>
        <v>2351.4279999999999</v>
      </c>
      <c r="S19" s="266">
        <v>400</v>
      </c>
      <c r="T19" s="266">
        <v>13.520000000000001</v>
      </c>
      <c r="U19" s="260">
        <v>140</v>
      </c>
      <c r="V19" s="87">
        <f t="shared" si="4"/>
        <v>553.52</v>
      </c>
      <c r="W19" s="266">
        <v>100</v>
      </c>
      <c r="X19" s="266">
        <v>13.520000000000001</v>
      </c>
      <c r="Y19" s="260">
        <v>100</v>
      </c>
      <c r="Z19" s="87">
        <f t="shared" si="5"/>
        <v>213.51999999999998</v>
      </c>
      <c r="AA19" s="94">
        <f t="shared" si="12"/>
        <v>5023.1400000000012</v>
      </c>
      <c r="AB19" s="96" t="s">
        <v>53</v>
      </c>
      <c r="AC19" s="138"/>
      <c r="AD19" s="146">
        <v>12</v>
      </c>
      <c r="AE19" s="147" t="s">
        <v>15</v>
      </c>
      <c r="AF19" s="141">
        <f t="shared" si="15"/>
        <v>3271.6</v>
      </c>
      <c r="AG19" s="141">
        <f t="shared" si="15"/>
        <v>111.53999999999999</v>
      </c>
      <c r="AH19" s="141">
        <f t="shared" si="16"/>
        <v>1640</v>
      </c>
      <c r="AI19" s="108"/>
      <c r="AJ19" s="148">
        <v>12</v>
      </c>
      <c r="AK19" s="149" t="s">
        <v>15</v>
      </c>
      <c r="AL19" s="144">
        <f t="shared" si="8"/>
        <v>3271.6</v>
      </c>
      <c r="AM19" s="145">
        <f t="shared" si="9"/>
        <v>0.65130575695680371</v>
      </c>
      <c r="AN19" s="144">
        <f t="shared" si="13"/>
        <v>111.53999999999999</v>
      </c>
      <c r="AO19" s="145">
        <f t="shared" si="10"/>
        <v>2.2205234176232391E-2</v>
      </c>
      <c r="AP19" s="144">
        <f t="shared" si="14"/>
        <v>1640</v>
      </c>
      <c r="AQ19" s="145">
        <f t="shared" si="11"/>
        <v>0.32648900886696364</v>
      </c>
    </row>
    <row r="20" spans="1:43" x14ac:dyDescent="0.25">
      <c r="A20" s="156">
        <v>13</v>
      </c>
      <c r="B20" s="157" t="s">
        <v>16</v>
      </c>
      <c r="C20" s="259">
        <v>60</v>
      </c>
      <c r="D20" s="266">
        <v>21.632000000000001</v>
      </c>
      <c r="E20" s="260">
        <v>200</v>
      </c>
      <c r="F20" s="87">
        <f t="shared" si="0"/>
        <v>281.63200000000001</v>
      </c>
      <c r="G20" s="266">
        <v>451.6</v>
      </c>
      <c r="H20" s="266">
        <v>52.052</v>
      </c>
      <c r="I20" s="260">
        <v>300</v>
      </c>
      <c r="J20" s="87">
        <f t="shared" si="1"/>
        <v>803.65200000000004</v>
      </c>
      <c r="K20" s="266">
        <v>200</v>
      </c>
      <c r="L20" s="266">
        <v>8.1120000000000001</v>
      </c>
      <c r="M20" s="260">
        <v>50</v>
      </c>
      <c r="N20" s="87">
        <f t="shared" si="2"/>
        <v>258.11199999999997</v>
      </c>
      <c r="O20" s="266">
        <v>1218</v>
      </c>
      <c r="P20" s="266">
        <v>29.744000000000003</v>
      </c>
      <c r="Q20" s="260">
        <v>600</v>
      </c>
      <c r="R20" s="87">
        <f t="shared" si="3"/>
        <v>1847.7439999999999</v>
      </c>
      <c r="S20" s="266">
        <v>40</v>
      </c>
      <c r="T20" s="266">
        <v>27.040000000000003</v>
      </c>
      <c r="U20" s="260">
        <v>30</v>
      </c>
      <c r="V20" s="87">
        <f t="shared" si="4"/>
        <v>97.04</v>
      </c>
      <c r="W20" s="266">
        <v>200</v>
      </c>
      <c r="X20" s="266">
        <v>13.520000000000001</v>
      </c>
      <c r="Y20" s="260">
        <v>60</v>
      </c>
      <c r="Z20" s="87">
        <f t="shared" si="5"/>
        <v>273.52</v>
      </c>
      <c r="AA20" s="94">
        <f t="shared" si="12"/>
        <v>3561.7000000000003</v>
      </c>
      <c r="AB20" s="96" t="s">
        <v>53</v>
      </c>
      <c r="AC20" s="138"/>
      <c r="AD20" s="146">
        <v>13</v>
      </c>
      <c r="AE20" s="147" t="s">
        <v>16</v>
      </c>
      <c r="AF20" s="141">
        <f t="shared" si="15"/>
        <v>2169.6</v>
      </c>
      <c r="AG20" s="141">
        <f t="shared" si="15"/>
        <v>152.1</v>
      </c>
      <c r="AH20" s="141">
        <f t="shared" si="16"/>
        <v>1240</v>
      </c>
      <c r="AI20" s="108"/>
      <c r="AJ20" s="148">
        <v>13</v>
      </c>
      <c r="AK20" s="149" t="s">
        <v>16</v>
      </c>
      <c r="AL20" s="144">
        <f t="shared" si="8"/>
        <v>2169.6</v>
      </c>
      <c r="AM20" s="145">
        <f t="shared" si="9"/>
        <v>0.6091473172923042</v>
      </c>
      <c r="AN20" s="144">
        <f t="shared" si="13"/>
        <v>152.1</v>
      </c>
      <c r="AO20" s="145">
        <f t="shared" si="10"/>
        <v>4.2704326585619221E-2</v>
      </c>
      <c r="AP20" s="144">
        <f t="shared" si="14"/>
        <v>1240</v>
      </c>
      <c r="AQ20" s="145">
        <f t="shared" si="11"/>
        <v>0.34814835612207651</v>
      </c>
    </row>
    <row r="21" spans="1:43" x14ac:dyDescent="0.25">
      <c r="A21" s="156">
        <v>14</v>
      </c>
      <c r="B21" s="157" t="s">
        <v>17</v>
      </c>
      <c r="C21" s="259">
        <v>75</v>
      </c>
      <c r="D21" s="266">
        <v>39.207999999999998</v>
      </c>
      <c r="E21" s="260">
        <v>200</v>
      </c>
      <c r="F21" s="87">
        <f t="shared" si="0"/>
        <v>314.20799999999997</v>
      </c>
      <c r="G21" s="266">
        <v>608.4</v>
      </c>
      <c r="H21" s="266">
        <v>20.956000000000003</v>
      </c>
      <c r="I21" s="260">
        <v>400</v>
      </c>
      <c r="J21" s="87">
        <f t="shared" si="1"/>
        <v>1029.356</v>
      </c>
      <c r="K21" s="266">
        <v>200</v>
      </c>
      <c r="L21" s="266">
        <v>7.4360000000000008</v>
      </c>
      <c r="M21" s="260">
        <v>50</v>
      </c>
      <c r="N21" s="87">
        <f t="shared" si="2"/>
        <v>257.43600000000004</v>
      </c>
      <c r="O21" s="266">
        <v>861.2</v>
      </c>
      <c r="P21" s="266">
        <v>25.012000000000004</v>
      </c>
      <c r="Q21" s="260">
        <v>700</v>
      </c>
      <c r="R21" s="87">
        <f t="shared" si="3"/>
        <v>1586.212</v>
      </c>
      <c r="S21" s="266">
        <v>352</v>
      </c>
      <c r="T21" s="266">
        <v>13.520000000000001</v>
      </c>
      <c r="U21" s="260">
        <v>100</v>
      </c>
      <c r="V21" s="87">
        <f t="shared" si="4"/>
        <v>465.52</v>
      </c>
      <c r="W21" s="266">
        <v>200</v>
      </c>
      <c r="X21" s="266">
        <v>20.28</v>
      </c>
      <c r="Y21" s="260">
        <v>50</v>
      </c>
      <c r="Z21" s="87">
        <f t="shared" si="5"/>
        <v>270.27999999999997</v>
      </c>
      <c r="AA21" s="94">
        <f t="shared" si="12"/>
        <v>3923.0119999999997</v>
      </c>
      <c r="AB21" s="96" t="s">
        <v>53</v>
      </c>
      <c r="AC21" s="138"/>
      <c r="AD21" s="146">
        <v>14</v>
      </c>
      <c r="AE21" s="147" t="s">
        <v>17</v>
      </c>
      <c r="AF21" s="141">
        <f t="shared" si="15"/>
        <v>2296.6</v>
      </c>
      <c r="AG21" s="141">
        <f t="shared" si="15"/>
        <v>126.41200000000001</v>
      </c>
      <c r="AH21" s="141">
        <f t="shared" si="16"/>
        <v>1500</v>
      </c>
      <c r="AI21" s="108"/>
      <c r="AJ21" s="148">
        <v>14</v>
      </c>
      <c r="AK21" s="149" t="s">
        <v>17</v>
      </c>
      <c r="AL21" s="144">
        <f t="shared" si="8"/>
        <v>2296.6</v>
      </c>
      <c r="AM21" s="145">
        <f t="shared" si="9"/>
        <v>0.58541753122345797</v>
      </c>
      <c r="AN21" s="144">
        <f t="shared" si="13"/>
        <v>126.41200000000001</v>
      </c>
      <c r="AO21" s="145">
        <f t="shared" si="10"/>
        <v>3.2223199929034121E-2</v>
      </c>
      <c r="AP21" s="144">
        <f t="shared" si="14"/>
        <v>1500</v>
      </c>
      <c r="AQ21" s="145">
        <f t="shared" si="11"/>
        <v>0.38235926884750804</v>
      </c>
    </row>
    <row r="22" spans="1:43" x14ac:dyDescent="0.25">
      <c r="A22" s="156">
        <v>15</v>
      </c>
      <c r="B22" s="157" t="s">
        <v>18</v>
      </c>
      <c r="C22" s="259">
        <v>75</v>
      </c>
      <c r="D22" s="266">
        <v>6.7600000000000007</v>
      </c>
      <c r="E22" s="260">
        <v>200</v>
      </c>
      <c r="F22" s="87">
        <f t="shared" si="0"/>
        <v>281.76</v>
      </c>
      <c r="G22" s="266">
        <v>249.6</v>
      </c>
      <c r="H22" s="266">
        <v>21.632000000000001</v>
      </c>
      <c r="I22" s="260">
        <v>400</v>
      </c>
      <c r="J22" s="87">
        <f t="shared" si="1"/>
        <v>671.23199999999997</v>
      </c>
      <c r="K22" s="266">
        <v>160</v>
      </c>
      <c r="L22" s="266">
        <v>17.576000000000004</v>
      </c>
      <c r="M22" s="260">
        <v>100</v>
      </c>
      <c r="N22" s="87">
        <f t="shared" si="2"/>
        <v>277.57600000000002</v>
      </c>
      <c r="O22" s="266">
        <v>1012.4</v>
      </c>
      <c r="P22" s="266">
        <v>68.951999999999998</v>
      </c>
      <c r="Q22" s="260">
        <v>800</v>
      </c>
      <c r="R22" s="87">
        <f t="shared" si="3"/>
        <v>1881.3519999999999</v>
      </c>
      <c r="S22" s="266">
        <v>120</v>
      </c>
      <c r="T22" s="266">
        <v>13.520000000000001</v>
      </c>
      <c r="U22" s="260">
        <v>50</v>
      </c>
      <c r="V22" s="87">
        <f t="shared" si="4"/>
        <v>183.52</v>
      </c>
      <c r="W22" s="266">
        <v>200</v>
      </c>
      <c r="X22" s="266">
        <v>0</v>
      </c>
      <c r="Y22" s="260">
        <v>50</v>
      </c>
      <c r="Z22" s="87">
        <f t="shared" si="5"/>
        <v>250</v>
      </c>
      <c r="AA22" s="94">
        <f t="shared" si="12"/>
        <v>3545.44</v>
      </c>
      <c r="AB22" s="96" t="s">
        <v>53</v>
      </c>
      <c r="AC22" s="138"/>
      <c r="AD22" s="146">
        <v>15</v>
      </c>
      <c r="AE22" s="147" t="s">
        <v>18</v>
      </c>
      <c r="AF22" s="141">
        <f t="shared" si="15"/>
        <v>1817</v>
      </c>
      <c r="AG22" s="141">
        <f t="shared" si="15"/>
        <v>128.44</v>
      </c>
      <c r="AH22" s="141">
        <f t="shared" si="16"/>
        <v>1600</v>
      </c>
      <c r="AI22" s="108"/>
      <c r="AJ22" s="148">
        <v>15</v>
      </c>
      <c r="AK22" s="149" t="s">
        <v>18</v>
      </c>
      <c r="AL22" s="144">
        <f t="shared" si="8"/>
        <v>1817</v>
      </c>
      <c r="AM22" s="145">
        <f t="shared" si="9"/>
        <v>0.51248928200731081</v>
      </c>
      <c r="AN22" s="144">
        <f t="shared" si="13"/>
        <v>128.44</v>
      </c>
      <c r="AO22" s="145">
        <f t="shared" si="10"/>
        <v>3.6226815289498622E-2</v>
      </c>
      <c r="AP22" s="144">
        <f t="shared" si="14"/>
        <v>1600</v>
      </c>
      <c r="AQ22" s="145">
        <f t="shared" si="11"/>
        <v>0.45128390270319058</v>
      </c>
    </row>
    <row r="23" spans="1:43" x14ac:dyDescent="0.25">
      <c r="A23" s="156">
        <v>16</v>
      </c>
      <c r="B23" s="157" t="s">
        <v>19</v>
      </c>
      <c r="C23" s="259">
        <v>35</v>
      </c>
      <c r="D23" s="266">
        <v>0</v>
      </c>
      <c r="E23" s="260">
        <v>50</v>
      </c>
      <c r="F23" s="87">
        <f t="shared" si="0"/>
        <v>85</v>
      </c>
      <c r="G23" s="266">
        <v>400</v>
      </c>
      <c r="H23" s="266">
        <v>0</v>
      </c>
      <c r="I23" s="260">
        <v>200</v>
      </c>
      <c r="J23" s="87">
        <f t="shared" si="1"/>
        <v>600</v>
      </c>
      <c r="K23" s="266">
        <v>0</v>
      </c>
      <c r="L23" s="266">
        <v>9.4639999999999986</v>
      </c>
      <c r="M23" s="260"/>
      <c r="N23" s="87">
        <f t="shared" si="2"/>
        <v>9.4639999999999986</v>
      </c>
      <c r="O23" s="266">
        <v>616.79999999999995</v>
      </c>
      <c r="P23" s="266">
        <v>4.7319999999999993</v>
      </c>
      <c r="Q23" s="260">
        <v>500</v>
      </c>
      <c r="R23" s="87">
        <f t="shared" si="3"/>
        <v>1121.5319999999999</v>
      </c>
      <c r="S23" s="266">
        <v>40</v>
      </c>
      <c r="T23" s="266">
        <v>0</v>
      </c>
      <c r="U23" s="260">
        <v>20</v>
      </c>
      <c r="V23" s="87">
        <f t="shared" si="4"/>
        <v>60</v>
      </c>
      <c r="W23" s="266">
        <v>200</v>
      </c>
      <c r="X23" s="266">
        <v>6.7600000000000007</v>
      </c>
      <c r="Y23" s="260">
        <v>55</v>
      </c>
      <c r="Z23" s="87">
        <f t="shared" si="5"/>
        <v>261.76</v>
      </c>
      <c r="AA23" s="94">
        <f t="shared" si="12"/>
        <v>2137.7559999999999</v>
      </c>
      <c r="AB23" s="96" t="s">
        <v>53</v>
      </c>
      <c r="AC23" s="138"/>
      <c r="AD23" s="146">
        <v>16</v>
      </c>
      <c r="AE23" s="147" t="s">
        <v>19</v>
      </c>
      <c r="AF23" s="141">
        <f t="shared" si="15"/>
        <v>1291.8</v>
      </c>
      <c r="AG23" s="141">
        <f t="shared" si="15"/>
        <v>20.956</v>
      </c>
      <c r="AH23" s="141">
        <f t="shared" si="16"/>
        <v>825</v>
      </c>
      <c r="AI23" s="108"/>
      <c r="AJ23" s="148">
        <v>16</v>
      </c>
      <c r="AK23" s="149" t="s">
        <v>19</v>
      </c>
      <c r="AL23" s="144">
        <f t="shared" si="8"/>
        <v>1291.8</v>
      </c>
      <c r="AM23" s="145">
        <f t="shared" si="9"/>
        <v>0.60427850512406467</v>
      </c>
      <c r="AN23" s="144">
        <f t="shared" si="13"/>
        <v>20.956</v>
      </c>
      <c r="AO23" s="145">
        <f t="shared" si="10"/>
        <v>9.802802564932574E-3</v>
      </c>
      <c r="AP23" s="144">
        <f t="shared" si="14"/>
        <v>825</v>
      </c>
      <c r="AQ23" s="145">
        <f t="shared" si="11"/>
        <v>0.38591869231100279</v>
      </c>
    </row>
    <row r="24" spans="1:43" x14ac:dyDescent="0.25">
      <c r="A24" s="156">
        <v>17</v>
      </c>
      <c r="B24" s="157" t="s">
        <v>20</v>
      </c>
      <c r="C24" s="259">
        <v>0</v>
      </c>
      <c r="D24" s="266">
        <v>0</v>
      </c>
      <c r="E24" s="260">
        <v>0</v>
      </c>
      <c r="F24" s="87">
        <f t="shared" si="0"/>
        <v>0</v>
      </c>
      <c r="G24" s="266">
        <v>0</v>
      </c>
      <c r="H24" s="266">
        <v>0</v>
      </c>
      <c r="I24" s="260">
        <v>0</v>
      </c>
      <c r="J24" s="87">
        <f t="shared" si="1"/>
        <v>0</v>
      </c>
      <c r="K24" s="266">
        <v>0</v>
      </c>
      <c r="L24" s="266">
        <v>10.816000000000001</v>
      </c>
      <c r="M24" s="260"/>
      <c r="N24" s="87">
        <f t="shared" si="2"/>
        <v>10.816000000000001</v>
      </c>
      <c r="O24" s="266">
        <v>22.4</v>
      </c>
      <c r="P24" s="266">
        <v>6.0840000000000014</v>
      </c>
      <c r="Q24" s="260">
        <v>0</v>
      </c>
      <c r="R24" s="87">
        <f t="shared" si="3"/>
        <v>28.484000000000002</v>
      </c>
      <c r="S24" s="266">
        <v>0</v>
      </c>
      <c r="T24" s="266">
        <v>0</v>
      </c>
      <c r="U24" s="260"/>
      <c r="V24" s="87">
        <f t="shared" si="4"/>
        <v>0</v>
      </c>
      <c r="W24" s="266">
        <v>200</v>
      </c>
      <c r="X24" s="266">
        <v>0</v>
      </c>
      <c r="Y24" s="260">
        <v>50</v>
      </c>
      <c r="Z24" s="87">
        <f t="shared" si="5"/>
        <v>250</v>
      </c>
      <c r="AA24" s="94">
        <f t="shared" si="12"/>
        <v>289.3</v>
      </c>
      <c r="AB24" s="96" t="s">
        <v>53</v>
      </c>
      <c r="AC24" s="138"/>
      <c r="AD24" s="146">
        <v>17</v>
      </c>
      <c r="AE24" s="147" t="s">
        <v>20</v>
      </c>
      <c r="AF24" s="141">
        <f t="shared" si="15"/>
        <v>222.4</v>
      </c>
      <c r="AG24" s="141">
        <f t="shared" si="15"/>
        <v>16.900000000000002</v>
      </c>
      <c r="AH24" s="141">
        <f t="shared" si="16"/>
        <v>50</v>
      </c>
      <c r="AI24" s="108"/>
      <c r="AJ24" s="148">
        <v>17</v>
      </c>
      <c r="AK24" s="149" t="s">
        <v>20</v>
      </c>
      <c r="AL24" s="144">
        <f t="shared" si="8"/>
        <v>222.4</v>
      </c>
      <c r="AM24" s="145">
        <f t="shared" si="9"/>
        <v>0.76875216038714134</v>
      </c>
      <c r="AN24" s="144">
        <f t="shared" si="13"/>
        <v>16.900000000000002</v>
      </c>
      <c r="AO24" s="145">
        <f t="shared" si="10"/>
        <v>5.8416868302799865E-2</v>
      </c>
      <c r="AP24" s="144">
        <f t="shared" si="14"/>
        <v>50</v>
      </c>
      <c r="AQ24" s="145">
        <f t="shared" si="11"/>
        <v>0.17283097131005876</v>
      </c>
    </row>
    <row r="25" spans="1:43" x14ac:dyDescent="0.25">
      <c r="A25" s="156">
        <v>18</v>
      </c>
      <c r="B25" s="157" t="s">
        <v>21</v>
      </c>
      <c r="C25" s="259">
        <v>70</v>
      </c>
      <c r="D25" s="266">
        <v>16.224</v>
      </c>
      <c r="E25" s="260">
        <v>100</v>
      </c>
      <c r="F25" s="87">
        <f t="shared" si="0"/>
        <v>186.22399999999999</v>
      </c>
      <c r="G25" s="266">
        <v>547.20000000000005</v>
      </c>
      <c r="H25" s="266">
        <v>21.632000000000001</v>
      </c>
      <c r="I25" s="260">
        <v>300</v>
      </c>
      <c r="J25" s="87">
        <f t="shared" si="1"/>
        <v>868.83199999999999</v>
      </c>
      <c r="K25" s="266">
        <v>200</v>
      </c>
      <c r="L25" s="266">
        <v>11.492000000000001</v>
      </c>
      <c r="M25" s="260">
        <v>100</v>
      </c>
      <c r="N25" s="87">
        <f t="shared" si="2"/>
        <v>311.49199999999996</v>
      </c>
      <c r="O25" s="266">
        <v>815.6</v>
      </c>
      <c r="P25" s="266">
        <v>14.872000000000002</v>
      </c>
      <c r="Q25" s="260">
        <v>500</v>
      </c>
      <c r="R25" s="87">
        <f t="shared" si="3"/>
        <v>1330.472</v>
      </c>
      <c r="S25" s="266">
        <v>180</v>
      </c>
      <c r="T25" s="266">
        <v>6.7600000000000007</v>
      </c>
      <c r="U25" s="260">
        <v>50</v>
      </c>
      <c r="V25" s="87">
        <f t="shared" si="4"/>
        <v>236.76</v>
      </c>
      <c r="W25" s="266">
        <v>200</v>
      </c>
      <c r="X25" s="266">
        <v>6.7600000000000007</v>
      </c>
      <c r="Y25" s="260">
        <v>55</v>
      </c>
      <c r="Z25" s="87">
        <f t="shared" si="5"/>
        <v>261.76</v>
      </c>
      <c r="AA25" s="94">
        <f t="shared" si="12"/>
        <v>3195.54</v>
      </c>
      <c r="AB25" s="96" t="s">
        <v>53</v>
      </c>
      <c r="AC25" s="138"/>
      <c r="AD25" s="146">
        <v>18</v>
      </c>
      <c r="AE25" s="147" t="s">
        <v>21</v>
      </c>
      <c r="AF25" s="141">
        <f t="shared" si="15"/>
        <v>2012.8000000000002</v>
      </c>
      <c r="AG25" s="141">
        <f t="shared" si="15"/>
        <v>77.740000000000009</v>
      </c>
      <c r="AH25" s="141">
        <f t="shared" si="16"/>
        <v>1105</v>
      </c>
      <c r="AI25" s="108"/>
      <c r="AJ25" s="148">
        <v>18</v>
      </c>
      <c r="AK25" s="149" t="s">
        <v>21</v>
      </c>
      <c r="AL25" s="144">
        <f t="shared" si="8"/>
        <v>2012.8000000000002</v>
      </c>
      <c r="AM25" s="145">
        <f t="shared" si="9"/>
        <v>0.62987789231241054</v>
      </c>
      <c r="AN25" s="144">
        <f t="shared" si="13"/>
        <v>77.740000000000009</v>
      </c>
      <c r="AO25" s="145">
        <f t="shared" si="10"/>
        <v>2.4327656671485887E-2</v>
      </c>
      <c r="AP25" s="144">
        <f t="shared" si="14"/>
        <v>1105</v>
      </c>
      <c r="AQ25" s="145">
        <f t="shared" si="11"/>
        <v>0.34579445101610368</v>
      </c>
    </row>
    <row r="26" spans="1:43" x14ac:dyDescent="0.25">
      <c r="A26" s="156">
        <v>19</v>
      </c>
      <c r="B26" s="157" t="s">
        <v>22</v>
      </c>
      <c r="C26" s="259">
        <v>60</v>
      </c>
      <c r="D26" s="266">
        <v>7.4360000000000008</v>
      </c>
      <c r="E26" s="260">
        <v>200</v>
      </c>
      <c r="F26" s="87">
        <f t="shared" si="0"/>
        <v>267.43600000000004</v>
      </c>
      <c r="G26" s="266">
        <v>490</v>
      </c>
      <c r="H26" s="266">
        <v>20.28</v>
      </c>
      <c r="I26" s="260">
        <v>300</v>
      </c>
      <c r="J26" s="87">
        <f t="shared" si="1"/>
        <v>810.28</v>
      </c>
      <c r="K26" s="266">
        <v>40</v>
      </c>
      <c r="L26" s="266">
        <v>17.576000000000004</v>
      </c>
      <c r="M26" s="260">
        <v>40</v>
      </c>
      <c r="N26" s="87">
        <f t="shared" si="2"/>
        <v>97.576000000000008</v>
      </c>
      <c r="O26" s="266">
        <v>512.79999999999995</v>
      </c>
      <c r="P26" s="266">
        <v>7.4360000000000008</v>
      </c>
      <c r="Q26" s="260">
        <v>500</v>
      </c>
      <c r="R26" s="87">
        <f t="shared" si="3"/>
        <v>1020.236</v>
      </c>
      <c r="S26" s="266">
        <v>40</v>
      </c>
      <c r="T26" s="266">
        <v>0</v>
      </c>
      <c r="U26" s="260">
        <v>50</v>
      </c>
      <c r="V26" s="87">
        <f t="shared" si="4"/>
        <v>90</v>
      </c>
      <c r="W26" s="266">
        <v>200</v>
      </c>
      <c r="X26" s="266">
        <v>0</v>
      </c>
      <c r="Y26" s="260">
        <v>50</v>
      </c>
      <c r="Z26" s="87">
        <f t="shared" si="5"/>
        <v>250</v>
      </c>
      <c r="AA26" s="94">
        <f t="shared" si="12"/>
        <v>2535.5279999999998</v>
      </c>
      <c r="AB26" s="96" t="s">
        <v>53</v>
      </c>
      <c r="AC26" s="138"/>
      <c r="AD26" s="146">
        <v>19</v>
      </c>
      <c r="AE26" s="147" t="s">
        <v>22</v>
      </c>
      <c r="AF26" s="141">
        <f t="shared" si="15"/>
        <v>1342.8</v>
      </c>
      <c r="AG26" s="141">
        <f t="shared" si="15"/>
        <v>52.728000000000002</v>
      </c>
      <c r="AH26" s="141">
        <f t="shared" si="16"/>
        <v>1140</v>
      </c>
      <c r="AI26" s="108"/>
      <c r="AJ26" s="148">
        <v>19</v>
      </c>
      <c r="AK26" s="149" t="s">
        <v>22</v>
      </c>
      <c r="AL26" s="144">
        <f t="shared" si="8"/>
        <v>1342.8</v>
      </c>
      <c r="AM26" s="145">
        <f t="shared" si="9"/>
        <v>0.52959383607674615</v>
      </c>
      <c r="AN26" s="144">
        <f t="shared" si="13"/>
        <v>52.728000000000002</v>
      </c>
      <c r="AO26" s="145">
        <f t="shared" si="10"/>
        <v>2.0795668594470268E-2</v>
      </c>
      <c r="AP26" s="144">
        <f t="shared" si="14"/>
        <v>1140</v>
      </c>
      <c r="AQ26" s="145">
        <f t="shared" si="11"/>
        <v>0.44961049532878361</v>
      </c>
    </row>
    <row r="27" spans="1:43" x14ac:dyDescent="0.25">
      <c r="A27" s="156">
        <v>20</v>
      </c>
      <c r="B27" s="157" t="s">
        <v>23</v>
      </c>
      <c r="C27" s="259">
        <v>90</v>
      </c>
      <c r="D27" s="266">
        <v>23.66</v>
      </c>
      <c r="E27" s="260">
        <v>100</v>
      </c>
      <c r="F27" s="87">
        <f t="shared" si="0"/>
        <v>213.66</v>
      </c>
      <c r="G27" s="266">
        <v>806.8</v>
      </c>
      <c r="H27" s="266">
        <v>19.603999999999999</v>
      </c>
      <c r="I27" s="260">
        <v>400</v>
      </c>
      <c r="J27" s="87">
        <f t="shared" si="1"/>
        <v>1226.404</v>
      </c>
      <c r="K27" s="266">
        <v>400</v>
      </c>
      <c r="L27" s="266">
        <v>11.492000000000001</v>
      </c>
      <c r="M27" s="260">
        <v>100</v>
      </c>
      <c r="N27" s="87">
        <f t="shared" si="2"/>
        <v>511.49200000000002</v>
      </c>
      <c r="O27" s="266">
        <v>1616.4</v>
      </c>
      <c r="P27" s="266">
        <v>40.56</v>
      </c>
      <c r="Q27" s="260">
        <v>800</v>
      </c>
      <c r="R27" s="87">
        <f t="shared" si="3"/>
        <v>2456.96</v>
      </c>
      <c r="S27" s="266">
        <v>160</v>
      </c>
      <c r="T27" s="266">
        <v>20.28</v>
      </c>
      <c r="U27" s="260">
        <v>50</v>
      </c>
      <c r="V27" s="87">
        <f t="shared" si="4"/>
        <v>230.28</v>
      </c>
      <c r="W27" s="266">
        <v>200</v>
      </c>
      <c r="X27" s="266">
        <v>6.7600000000000007</v>
      </c>
      <c r="Y27" s="260">
        <v>60</v>
      </c>
      <c r="Z27" s="87">
        <f t="shared" si="5"/>
        <v>266.76</v>
      </c>
      <c r="AA27" s="94">
        <f t="shared" si="12"/>
        <v>4905.5559999999996</v>
      </c>
      <c r="AB27" s="96" t="s">
        <v>53</v>
      </c>
      <c r="AC27" s="138"/>
      <c r="AD27" s="146">
        <v>20</v>
      </c>
      <c r="AE27" s="147" t="s">
        <v>23</v>
      </c>
      <c r="AF27" s="141">
        <f t="shared" si="15"/>
        <v>3273.2</v>
      </c>
      <c r="AG27" s="141">
        <f t="shared" si="15"/>
        <v>122.35600000000001</v>
      </c>
      <c r="AH27" s="141">
        <f t="shared" si="16"/>
        <v>1510</v>
      </c>
      <c r="AI27" s="108"/>
      <c r="AJ27" s="148">
        <v>20</v>
      </c>
      <c r="AK27" s="149" t="s">
        <v>23</v>
      </c>
      <c r="AL27" s="144">
        <f t="shared" si="8"/>
        <v>3273.2</v>
      </c>
      <c r="AM27" s="145">
        <f t="shared" si="9"/>
        <v>0.66724342765631461</v>
      </c>
      <c r="AN27" s="144">
        <f t="shared" si="13"/>
        <v>122.35600000000001</v>
      </c>
      <c r="AO27" s="145">
        <f t="shared" si="10"/>
        <v>2.4942330696051583E-2</v>
      </c>
      <c r="AP27" s="144">
        <f t="shared" si="14"/>
        <v>1510</v>
      </c>
      <c r="AQ27" s="145">
        <f t="shared" si="11"/>
        <v>0.30781424164763388</v>
      </c>
    </row>
    <row r="28" spans="1:43" x14ac:dyDescent="0.25">
      <c r="A28" s="156">
        <v>21</v>
      </c>
      <c r="B28" s="157" t="s">
        <v>24</v>
      </c>
      <c r="C28" s="259">
        <v>135</v>
      </c>
      <c r="D28" s="266">
        <v>12.843999999999999</v>
      </c>
      <c r="E28" s="260">
        <v>200</v>
      </c>
      <c r="F28" s="87">
        <f t="shared" si="0"/>
        <v>347.84399999999999</v>
      </c>
      <c r="G28" s="266">
        <v>490.4</v>
      </c>
      <c r="H28" s="266">
        <v>18.252000000000002</v>
      </c>
      <c r="I28" s="260">
        <v>300</v>
      </c>
      <c r="J28" s="87">
        <f t="shared" si="1"/>
        <v>808.65200000000004</v>
      </c>
      <c r="K28" s="266">
        <v>200</v>
      </c>
      <c r="L28" s="266">
        <v>7.4360000000000008</v>
      </c>
      <c r="M28" s="260">
        <v>60</v>
      </c>
      <c r="N28" s="87">
        <f t="shared" si="2"/>
        <v>267.43600000000004</v>
      </c>
      <c r="O28" s="266">
        <v>614.79999999999995</v>
      </c>
      <c r="P28" s="266">
        <v>9.4639999999999986</v>
      </c>
      <c r="Q28" s="260">
        <v>800</v>
      </c>
      <c r="R28" s="87">
        <f t="shared" si="3"/>
        <v>1424.2639999999999</v>
      </c>
      <c r="S28" s="266">
        <v>120</v>
      </c>
      <c r="T28" s="266">
        <v>0</v>
      </c>
      <c r="U28" s="260">
        <v>50</v>
      </c>
      <c r="V28" s="87">
        <f t="shared" si="4"/>
        <v>170</v>
      </c>
      <c r="W28" s="266">
        <v>200</v>
      </c>
      <c r="X28" s="266">
        <v>0</v>
      </c>
      <c r="Y28" s="260">
        <v>50</v>
      </c>
      <c r="Z28" s="87">
        <f t="shared" si="5"/>
        <v>250</v>
      </c>
      <c r="AA28" s="94">
        <f t="shared" si="12"/>
        <v>3268.1959999999999</v>
      </c>
      <c r="AB28" s="96" t="s">
        <v>53</v>
      </c>
      <c r="AC28" s="138"/>
      <c r="AD28" s="146">
        <v>21</v>
      </c>
      <c r="AE28" s="147" t="s">
        <v>24</v>
      </c>
      <c r="AF28" s="141">
        <f t="shared" si="15"/>
        <v>1760.1999999999998</v>
      </c>
      <c r="AG28" s="141">
        <f t="shared" si="15"/>
        <v>47.996000000000002</v>
      </c>
      <c r="AH28" s="141">
        <f t="shared" si="16"/>
        <v>1460</v>
      </c>
      <c r="AI28" s="108"/>
      <c r="AJ28" s="148">
        <v>21</v>
      </c>
      <c r="AK28" s="149" t="s">
        <v>24</v>
      </c>
      <c r="AL28" s="144">
        <f t="shared" si="8"/>
        <v>1760.1999999999998</v>
      </c>
      <c r="AM28" s="145">
        <f t="shared" si="9"/>
        <v>0.53858458917396623</v>
      </c>
      <c r="AN28" s="144">
        <f t="shared" si="13"/>
        <v>47.996000000000002</v>
      </c>
      <c r="AO28" s="145">
        <f t="shared" si="10"/>
        <v>1.4685777719573734E-2</v>
      </c>
      <c r="AP28" s="144">
        <f t="shared" si="14"/>
        <v>1460</v>
      </c>
      <c r="AQ28" s="145">
        <f t="shared" si="11"/>
        <v>0.44672963310645997</v>
      </c>
    </row>
    <row r="29" spans="1:43" x14ac:dyDescent="0.25">
      <c r="A29" s="156">
        <v>22</v>
      </c>
      <c r="B29" s="157" t="s">
        <v>25</v>
      </c>
      <c r="C29" s="259">
        <v>95</v>
      </c>
      <c r="D29" s="266">
        <v>14.872000000000002</v>
      </c>
      <c r="E29" s="260">
        <v>200</v>
      </c>
      <c r="F29" s="87">
        <f t="shared" si="0"/>
        <v>309.87200000000001</v>
      </c>
      <c r="G29" s="266">
        <v>312.39999999999998</v>
      </c>
      <c r="H29" s="266">
        <v>28.392000000000007</v>
      </c>
      <c r="I29" s="260">
        <v>300</v>
      </c>
      <c r="J29" s="87">
        <f t="shared" si="1"/>
        <v>640.79199999999992</v>
      </c>
      <c r="K29" s="266">
        <v>200</v>
      </c>
      <c r="L29" s="266">
        <v>20.956000000000003</v>
      </c>
      <c r="M29" s="260">
        <v>100</v>
      </c>
      <c r="N29" s="87">
        <f t="shared" si="2"/>
        <v>320.95600000000002</v>
      </c>
      <c r="O29" s="266">
        <v>1634.4</v>
      </c>
      <c r="P29" s="266">
        <v>23.66</v>
      </c>
      <c r="Q29" s="260">
        <v>700</v>
      </c>
      <c r="R29" s="87">
        <f t="shared" si="3"/>
        <v>2358.0600000000004</v>
      </c>
      <c r="S29" s="266">
        <v>100</v>
      </c>
      <c r="T29" s="266">
        <v>20.28</v>
      </c>
      <c r="U29" s="260">
        <v>100</v>
      </c>
      <c r="V29" s="87">
        <f t="shared" si="4"/>
        <v>220.28</v>
      </c>
      <c r="W29" s="266">
        <v>220</v>
      </c>
      <c r="X29" s="266">
        <v>6.7600000000000007</v>
      </c>
      <c r="Y29" s="260">
        <v>50</v>
      </c>
      <c r="Z29" s="87">
        <f t="shared" si="5"/>
        <v>276.76</v>
      </c>
      <c r="AA29" s="94">
        <f t="shared" si="12"/>
        <v>4126.72</v>
      </c>
      <c r="AB29" s="96" t="s">
        <v>53</v>
      </c>
      <c r="AC29" s="138"/>
      <c r="AD29" s="146">
        <v>22</v>
      </c>
      <c r="AE29" s="147" t="s">
        <v>25</v>
      </c>
      <c r="AF29" s="141">
        <f t="shared" si="15"/>
        <v>2561.8000000000002</v>
      </c>
      <c r="AG29" s="141">
        <f t="shared" si="15"/>
        <v>114.92000000000002</v>
      </c>
      <c r="AH29" s="141">
        <f t="shared" si="16"/>
        <v>1450</v>
      </c>
      <c r="AI29" s="108"/>
      <c r="AJ29" s="148">
        <v>22</v>
      </c>
      <c r="AK29" s="149" t="s">
        <v>25</v>
      </c>
      <c r="AL29" s="144">
        <f t="shared" si="8"/>
        <v>2561.8000000000002</v>
      </c>
      <c r="AM29" s="145">
        <f t="shared" si="9"/>
        <v>0.62078357630272951</v>
      </c>
      <c r="AN29" s="144">
        <f t="shared" si="13"/>
        <v>114.92000000000002</v>
      </c>
      <c r="AO29" s="145">
        <f t="shared" si="10"/>
        <v>2.7847782258064519E-2</v>
      </c>
      <c r="AP29" s="144">
        <f t="shared" si="14"/>
        <v>1450</v>
      </c>
      <c r="AQ29" s="145">
        <f t="shared" si="11"/>
        <v>0.35136864143920593</v>
      </c>
    </row>
    <row r="30" spans="1:43" x14ac:dyDescent="0.25">
      <c r="A30" s="156">
        <v>23</v>
      </c>
      <c r="B30" s="157" t="s">
        <v>26</v>
      </c>
      <c r="C30" s="259">
        <v>25</v>
      </c>
      <c r="D30" s="266">
        <v>0</v>
      </c>
      <c r="E30" s="260">
        <v>100</v>
      </c>
      <c r="F30" s="87">
        <f t="shared" si="0"/>
        <v>125</v>
      </c>
      <c r="G30" s="266">
        <v>300</v>
      </c>
      <c r="H30" s="266">
        <v>0</v>
      </c>
      <c r="I30" s="260">
        <v>100</v>
      </c>
      <c r="J30" s="87">
        <f t="shared" si="1"/>
        <v>400</v>
      </c>
      <c r="K30" s="266">
        <v>0</v>
      </c>
      <c r="L30" s="266">
        <v>9.4639999999999986</v>
      </c>
      <c r="M30" s="260"/>
      <c r="N30" s="87">
        <f t="shared" si="2"/>
        <v>9.4639999999999986</v>
      </c>
      <c r="O30" s="266">
        <v>218</v>
      </c>
      <c r="P30" s="266">
        <v>9.4639999999999986</v>
      </c>
      <c r="Q30" s="260">
        <v>50</v>
      </c>
      <c r="R30" s="87">
        <f t="shared" si="3"/>
        <v>277.464</v>
      </c>
      <c r="S30" s="266">
        <v>40</v>
      </c>
      <c r="T30" s="266">
        <v>0</v>
      </c>
      <c r="U30" s="260">
        <v>50</v>
      </c>
      <c r="V30" s="87">
        <f t="shared" si="4"/>
        <v>90</v>
      </c>
      <c r="W30" s="266">
        <v>200</v>
      </c>
      <c r="X30" s="266">
        <v>0</v>
      </c>
      <c r="Y30" s="260">
        <v>50</v>
      </c>
      <c r="Z30" s="87">
        <f t="shared" si="5"/>
        <v>250</v>
      </c>
      <c r="AA30" s="94">
        <f t="shared" si="12"/>
        <v>1151.9279999999999</v>
      </c>
      <c r="AB30" s="96" t="s">
        <v>53</v>
      </c>
      <c r="AC30" s="138"/>
      <c r="AD30" s="146">
        <v>23</v>
      </c>
      <c r="AE30" s="147" t="s">
        <v>26</v>
      </c>
      <c r="AF30" s="141">
        <f t="shared" si="15"/>
        <v>783</v>
      </c>
      <c r="AG30" s="141">
        <f t="shared" si="15"/>
        <v>18.927999999999997</v>
      </c>
      <c r="AH30" s="141">
        <f t="shared" si="16"/>
        <v>350</v>
      </c>
      <c r="AI30" s="108"/>
      <c r="AJ30" s="148">
        <v>23</v>
      </c>
      <c r="AK30" s="149" t="s">
        <v>26</v>
      </c>
      <c r="AL30" s="144">
        <f t="shared" si="8"/>
        <v>783</v>
      </c>
      <c r="AM30" s="145">
        <f t="shared" si="9"/>
        <v>0.67972998312394528</v>
      </c>
      <c r="AN30" s="144">
        <f t="shared" si="13"/>
        <v>18.927999999999997</v>
      </c>
      <c r="AO30" s="145">
        <f t="shared" si="10"/>
        <v>1.6431582529463647E-2</v>
      </c>
      <c r="AP30" s="144">
        <f t="shared" si="14"/>
        <v>350</v>
      </c>
      <c r="AQ30" s="145">
        <f t="shared" si="11"/>
        <v>0.30383843434659114</v>
      </c>
    </row>
    <row r="31" spans="1:43" x14ac:dyDescent="0.25">
      <c r="A31" s="156">
        <v>24</v>
      </c>
      <c r="B31" s="157" t="s">
        <v>27</v>
      </c>
      <c r="C31" s="259">
        <v>0</v>
      </c>
      <c r="D31" s="266">
        <v>0</v>
      </c>
      <c r="E31" s="260">
        <v>0</v>
      </c>
      <c r="F31" s="87">
        <f t="shared" si="0"/>
        <v>0</v>
      </c>
      <c r="G31" s="266">
        <v>0</v>
      </c>
      <c r="H31" s="266">
        <v>0</v>
      </c>
      <c r="I31" s="260">
        <v>0</v>
      </c>
      <c r="J31" s="87">
        <f t="shared" si="1"/>
        <v>0</v>
      </c>
      <c r="K31" s="266">
        <v>0</v>
      </c>
      <c r="L31" s="266">
        <v>6.0840000000000014</v>
      </c>
      <c r="M31" s="260"/>
      <c r="N31" s="87">
        <f t="shared" si="2"/>
        <v>6.0840000000000014</v>
      </c>
      <c r="O31" s="266">
        <v>15.6</v>
      </c>
      <c r="P31" s="266">
        <v>21.632000000000001</v>
      </c>
      <c r="Q31" s="260">
        <v>0</v>
      </c>
      <c r="R31" s="87">
        <f t="shared" si="3"/>
        <v>37.231999999999999</v>
      </c>
      <c r="S31" s="266">
        <v>60</v>
      </c>
      <c r="T31" s="266">
        <v>0</v>
      </c>
      <c r="U31" s="260">
        <v>40</v>
      </c>
      <c r="V31" s="87">
        <f t="shared" si="4"/>
        <v>100</v>
      </c>
      <c r="W31" s="266">
        <v>200</v>
      </c>
      <c r="X31" s="266">
        <v>0</v>
      </c>
      <c r="Y31" s="260">
        <v>50</v>
      </c>
      <c r="Z31" s="87">
        <f t="shared" si="5"/>
        <v>250</v>
      </c>
      <c r="AA31" s="94">
        <f t="shared" si="12"/>
        <v>393.31600000000003</v>
      </c>
      <c r="AB31" s="96" t="s">
        <v>53</v>
      </c>
      <c r="AC31" s="138"/>
      <c r="AD31" s="146">
        <v>24</v>
      </c>
      <c r="AE31" s="147" t="s">
        <v>27</v>
      </c>
      <c r="AF31" s="141">
        <f t="shared" si="15"/>
        <v>275.60000000000002</v>
      </c>
      <c r="AG31" s="141">
        <f t="shared" si="15"/>
        <v>27.716000000000001</v>
      </c>
      <c r="AH31" s="141">
        <f t="shared" si="16"/>
        <v>90</v>
      </c>
      <c r="AI31" s="108"/>
      <c r="AJ31" s="148">
        <v>24</v>
      </c>
      <c r="AK31" s="149" t="s">
        <v>27</v>
      </c>
      <c r="AL31" s="144">
        <f t="shared" si="8"/>
        <v>275.60000000000002</v>
      </c>
      <c r="AM31" s="145">
        <f t="shared" si="9"/>
        <v>0.70070884479655038</v>
      </c>
      <c r="AN31" s="144">
        <f t="shared" si="13"/>
        <v>27.716000000000001</v>
      </c>
      <c r="AO31" s="145">
        <f t="shared" si="10"/>
        <v>7.0467512127653079E-2</v>
      </c>
      <c r="AP31" s="144">
        <f t="shared" si="14"/>
        <v>90</v>
      </c>
      <c r="AQ31" s="145">
        <f t="shared" si="11"/>
        <v>0.22882364307579653</v>
      </c>
    </row>
    <row r="32" spans="1:43" x14ac:dyDescent="0.25">
      <c r="A32" s="156">
        <v>25</v>
      </c>
      <c r="B32" s="157" t="s">
        <v>28</v>
      </c>
      <c r="C32" s="259">
        <v>90</v>
      </c>
      <c r="D32" s="266">
        <v>22.308</v>
      </c>
      <c r="E32" s="260">
        <v>200</v>
      </c>
      <c r="F32" s="87">
        <f t="shared" si="0"/>
        <v>312.30799999999999</v>
      </c>
      <c r="G32" s="266">
        <v>488.4</v>
      </c>
      <c r="H32" s="266">
        <v>21.632000000000001</v>
      </c>
      <c r="I32" s="260">
        <v>300</v>
      </c>
      <c r="J32" s="87">
        <f t="shared" si="1"/>
        <v>810.03199999999993</v>
      </c>
      <c r="K32" s="266">
        <v>200</v>
      </c>
      <c r="L32" s="266">
        <v>7.4360000000000008</v>
      </c>
      <c r="M32" s="260">
        <v>50</v>
      </c>
      <c r="N32" s="87">
        <f t="shared" si="2"/>
        <v>257.43600000000004</v>
      </c>
      <c r="O32" s="266">
        <v>898</v>
      </c>
      <c r="P32" s="266">
        <v>14.872000000000002</v>
      </c>
      <c r="Q32" s="260">
        <v>800</v>
      </c>
      <c r="R32" s="87">
        <f t="shared" si="3"/>
        <v>1712.8719999999998</v>
      </c>
      <c r="S32" s="266">
        <v>120</v>
      </c>
      <c r="T32" s="266">
        <v>27.040000000000003</v>
      </c>
      <c r="U32" s="260">
        <v>100</v>
      </c>
      <c r="V32" s="87">
        <f t="shared" si="4"/>
        <v>247.04</v>
      </c>
      <c r="W32" s="266">
        <v>220</v>
      </c>
      <c r="X32" s="266">
        <v>6.7600000000000007</v>
      </c>
      <c r="Y32" s="260">
        <v>50</v>
      </c>
      <c r="Z32" s="87">
        <f t="shared" si="5"/>
        <v>276.76</v>
      </c>
      <c r="AA32" s="94">
        <f t="shared" si="12"/>
        <v>3616.4479999999994</v>
      </c>
      <c r="AB32" s="96" t="s">
        <v>53</v>
      </c>
      <c r="AC32" s="138"/>
      <c r="AD32" s="146">
        <v>25</v>
      </c>
      <c r="AE32" s="147" t="s">
        <v>28</v>
      </c>
      <c r="AF32" s="141">
        <f t="shared" si="15"/>
        <v>2016.4</v>
      </c>
      <c r="AG32" s="141">
        <f t="shared" si="15"/>
        <v>100.04800000000002</v>
      </c>
      <c r="AH32" s="141">
        <f t="shared" si="16"/>
        <v>1500</v>
      </c>
      <c r="AI32" s="108"/>
      <c r="AJ32" s="148">
        <v>25</v>
      </c>
      <c r="AK32" s="149" t="s">
        <v>28</v>
      </c>
      <c r="AL32" s="144">
        <f t="shared" si="8"/>
        <v>2016.4</v>
      </c>
      <c r="AM32" s="145">
        <f t="shared" si="9"/>
        <v>0.55756366467871243</v>
      </c>
      <c r="AN32" s="144">
        <f t="shared" si="13"/>
        <v>100.04800000000002</v>
      </c>
      <c r="AO32" s="145">
        <f t="shared" si="10"/>
        <v>2.7664714106216938E-2</v>
      </c>
      <c r="AP32" s="144">
        <f t="shared" si="14"/>
        <v>1500</v>
      </c>
      <c r="AQ32" s="145">
        <f t="shared" si="11"/>
        <v>0.41477162121507077</v>
      </c>
    </row>
    <row r="33" spans="1:43" x14ac:dyDescent="0.25">
      <c r="A33" s="156">
        <v>26</v>
      </c>
      <c r="B33" s="157" t="s">
        <v>29</v>
      </c>
      <c r="C33" s="259">
        <v>150</v>
      </c>
      <c r="D33" s="266">
        <v>6.0840000000000014</v>
      </c>
      <c r="E33" s="260">
        <v>200</v>
      </c>
      <c r="F33" s="87">
        <f t="shared" si="0"/>
        <v>356.084</v>
      </c>
      <c r="G33" s="266">
        <v>809.6</v>
      </c>
      <c r="H33" s="266">
        <v>19.603999999999999</v>
      </c>
      <c r="I33" s="260">
        <v>400</v>
      </c>
      <c r="J33" s="87">
        <f t="shared" si="1"/>
        <v>1229.2040000000002</v>
      </c>
      <c r="K33" s="266">
        <v>280</v>
      </c>
      <c r="L33" s="266">
        <v>8.1120000000000001</v>
      </c>
      <c r="M33" s="260">
        <v>150</v>
      </c>
      <c r="N33" s="87">
        <f t="shared" si="2"/>
        <v>438.11200000000002</v>
      </c>
      <c r="O33" s="266">
        <v>1620.8</v>
      </c>
      <c r="P33" s="266">
        <v>6.0840000000000014</v>
      </c>
      <c r="Q33" s="260">
        <v>700</v>
      </c>
      <c r="R33" s="87">
        <f t="shared" si="3"/>
        <v>2326.884</v>
      </c>
      <c r="S33" s="266">
        <v>40</v>
      </c>
      <c r="T33" s="266">
        <v>0</v>
      </c>
      <c r="U33" s="260">
        <v>50</v>
      </c>
      <c r="V33" s="87">
        <f t="shared" si="4"/>
        <v>90</v>
      </c>
      <c r="W33" s="266">
        <v>200</v>
      </c>
      <c r="X33" s="266">
        <v>0</v>
      </c>
      <c r="Y33" s="260">
        <v>60</v>
      </c>
      <c r="Z33" s="87">
        <f t="shared" si="5"/>
        <v>260</v>
      </c>
      <c r="AA33" s="94">
        <f t="shared" si="12"/>
        <v>4700.2840000000006</v>
      </c>
      <c r="AB33" s="96" t="s">
        <v>53</v>
      </c>
      <c r="AC33" s="138"/>
      <c r="AD33" s="146">
        <v>26</v>
      </c>
      <c r="AE33" s="147" t="s">
        <v>29</v>
      </c>
      <c r="AF33" s="141">
        <f t="shared" si="15"/>
        <v>3100.3999999999996</v>
      </c>
      <c r="AG33" s="141">
        <f t="shared" si="15"/>
        <v>39.884000000000007</v>
      </c>
      <c r="AH33" s="141">
        <f t="shared" si="16"/>
        <v>1560</v>
      </c>
      <c r="AI33" s="108"/>
      <c r="AJ33" s="148">
        <v>26</v>
      </c>
      <c r="AK33" s="149" t="s">
        <v>29</v>
      </c>
      <c r="AL33" s="144">
        <f t="shared" si="8"/>
        <v>3100.3999999999996</v>
      </c>
      <c r="AM33" s="145">
        <f t="shared" si="9"/>
        <v>0.65961971659584806</v>
      </c>
      <c r="AN33" s="144">
        <f t="shared" si="13"/>
        <v>39.884000000000007</v>
      </c>
      <c r="AO33" s="145">
        <f t="shared" si="10"/>
        <v>8.4854447092984168E-3</v>
      </c>
      <c r="AP33" s="144">
        <f t="shared" si="14"/>
        <v>1560</v>
      </c>
      <c r="AQ33" s="145">
        <f t="shared" si="11"/>
        <v>0.33189483869485331</v>
      </c>
    </row>
    <row r="34" spans="1:43" x14ac:dyDescent="0.25">
      <c r="A34" s="156">
        <v>27</v>
      </c>
      <c r="B34" s="157" t="s">
        <v>30</v>
      </c>
      <c r="C34" s="259">
        <v>0</v>
      </c>
      <c r="D34" s="266">
        <v>13.520000000000001</v>
      </c>
      <c r="E34" s="260">
        <v>0</v>
      </c>
      <c r="F34" s="87">
        <f t="shared" si="0"/>
        <v>13.520000000000001</v>
      </c>
      <c r="G34" s="266">
        <v>11.2</v>
      </c>
      <c r="H34" s="266">
        <v>19.603999999999999</v>
      </c>
      <c r="I34" s="260">
        <v>0</v>
      </c>
      <c r="J34" s="87">
        <f t="shared" si="1"/>
        <v>30.803999999999998</v>
      </c>
      <c r="K34" s="266">
        <v>0</v>
      </c>
      <c r="L34" s="266">
        <v>23.66</v>
      </c>
      <c r="M34" s="260"/>
      <c r="N34" s="87">
        <f t="shared" si="2"/>
        <v>23.66</v>
      </c>
      <c r="O34" s="266">
        <v>16.8</v>
      </c>
      <c r="P34" s="266">
        <v>27.716000000000001</v>
      </c>
      <c r="Q34" s="260">
        <v>0</v>
      </c>
      <c r="R34" s="87">
        <f t="shared" si="3"/>
        <v>44.516000000000005</v>
      </c>
      <c r="S34" s="266">
        <v>0</v>
      </c>
      <c r="T34" s="266">
        <v>13.520000000000001</v>
      </c>
      <c r="U34" s="260"/>
      <c r="V34" s="87">
        <f t="shared" si="4"/>
        <v>13.520000000000001</v>
      </c>
      <c r="W34" s="266">
        <v>200</v>
      </c>
      <c r="X34" s="266">
        <v>6.7600000000000007</v>
      </c>
      <c r="Y34" s="260">
        <v>50</v>
      </c>
      <c r="Z34" s="87">
        <f t="shared" si="5"/>
        <v>256.76</v>
      </c>
      <c r="AA34" s="94">
        <f t="shared" si="12"/>
        <v>382.78</v>
      </c>
      <c r="AB34" s="96" t="s">
        <v>53</v>
      </c>
      <c r="AC34" s="138"/>
      <c r="AD34" s="146">
        <v>27</v>
      </c>
      <c r="AE34" s="147" t="s">
        <v>30</v>
      </c>
      <c r="AF34" s="141">
        <f t="shared" si="15"/>
        <v>228</v>
      </c>
      <c r="AG34" s="141">
        <f t="shared" si="15"/>
        <v>104.78</v>
      </c>
      <c r="AH34" s="141">
        <f t="shared" si="16"/>
        <v>50</v>
      </c>
      <c r="AI34" s="108"/>
      <c r="AJ34" s="148">
        <v>27</v>
      </c>
      <c r="AK34" s="149" t="s">
        <v>30</v>
      </c>
      <c r="AL34" s="144">
        <f t="shared" si="8"/>
        <v>228</v>
      </c>
      <c r="AM34" s="145">
        <f t="shared" si="9"/>
        <v>0.59564240555932912</v>
      </c>
      <c r="AN34" s="144">
        <f t="shared" si="13"/>
        <v>104.78</v>
      </c>
      <c r="AO34" s="145">
        <f t="shared" si="10"/>
        <v>0.27373425988818645</v>
      </c>
      <c r="AP34" s="144">
        <f t="shared" si="14"/>
        <v>50</v>
      </c>
      <c r="AQ34" s="145">
        <f t="shared" si="11"/>
        <v>0.13062333455248445</v>
      </c>
    </row>
    <row r="35" spans="1:43" x14ac:dyDescent="0.25">
      <c r="A35" s="156">
        <v>28</v>
      </c>
      <c r="B35" s="157" t="s">
        <v>31</v>
      </c>
      <c r="C35" s="259">
        <v>100</v>
      </c>
      <c r="D35" s="266">
        <v>16.224</v>
      </c>
      <c r="E35" s="260">
        <v>200</v>
      </c>
      <c r="F35" s="87">
        <f t="shared" si="0"/>
        <v>316.22399999999999</v>
      </c>
      <c r="G35" s="266">
        <v>207.6</v>
      </c>
      <c r="H35" s="266">
        <v>9.4639999999999986</v>
      </c>
      <c r="I35" s="260">
        <v>400</v>
      </c>
      <c r="J35" s="87">
        <f t="shared" si="1"/>
        <v>617.06399999999996</v>
      </c>
      <c r="K35" s="266">
        <v>200</v>
      </c>
      <c r="L35" s="266">
        <v>8.1120000000000001</v>
      </c>
      <c r="M35" s="260">
        <v>100</v>
      </c>
      <c r="N35" s="87">
        <f t="shared" si="2"/>
        <v>308.11199999999997</v>
      </c>
      <c r="O35" s="266">
        <v>1215.2</v>
      </c>
      <c r="P35" s="266">
        <v>17.576000000000004</v>
      </c>
      <c r="Q35" s="260">
        <v>800</v>
      </c>
      <c r="R35" s="87">
        <f t="shared" si="3"/>
        <v>2032.7760000000001</v>
      </c>
      <c r="S35" s="266">
        <v>540</v>
      </c>
      <c r="T35" s="266">
        <v>0</v>
      </c>
      <c r="U35" s="260">
        <v>100</v>
      </c>
      <c r="V35" s="87">
        <f t="shared" si="4"/>
        <v>640</v>
      </c>
      <c r="W35" s="266">
        <v>200</v>
      </c>
      <c r="X35" s="266">
        <v>0</v>
      </c>
      <c r="Y35" s="260">
        <v>55</v>
      </c>
      <c r="Z35" s="87">
        <f t="shared" si="5"/>
        <v>255</v>
      </c>
      <c r="AA35" s="94">
        <f t="shared" si="12"/>
        <v>4169.1760000000004</v>
      </c>
      <c r="AB35" s="96" t="s">
        <v>53</v>
      </c>
      <c r="AC35" s="138"/>
      <c r="AD35" s="146">
        <v>28</v>
      </c>
      <c r="AE35" s="147" t="s">
        <v>31</v>
      </c>
      <c r="AF35" s="141">
        <f t="shared" si="15"/>
        <v>2462.8000000000002</v>
      </c>
      <c r="AG35" s="141">
        <f t="shared" si="15"/>
        <v>51.376000000000005</v>
      </c>
      <c r="AH35" s="141">
        <f t="shared" si="16"/>
        <v>1655</v>
      </c>
      <c r="AI35" s="108"/>
      <c r="AJ35" s="148">
        <v>28</v>
      </c>
      <c r="AK35" s="149" t="s">
        <v>31</v>
      </c>
      <c r="AL35" s="144">
        <f t="shared" si="8"/>
        <v>2462.8000000000002</v>
      </c>
      <c r="AM35" s="145">
        <f t="shared" si="9"/>
        <v>0.59071624704737813</v>
      </c>
      <c r="AN35" s="144">
        <f t="shared" si="13"/>
        <v>51.376000000000005</v>
      </c>
      <c r="AO35" s="145">
        <f t="shared" si="10"/>
        <v>1.2322818705662701E-2</v>
      </c>
      <c r="AP35" s="144">
        <f t="shared" si="14"/>
        <v>1655</v>
      </c>
      <c r="AQ35" s="145">
        <f t="shared" si="11"/>
        <v>0.39696093424695905</v>
      </c>
    </row>
    <row r="36" spans="1:43" x14ac:dyDescent="0.25">
      <c r="A36" s="156">
        <v>29</v>
      </c>
      <c r="B36" s="157" t="s">
        <v>32</v>
      </c>
      <c r="C36" s="259">
        <v>100</v>
      </c>
      <c r="D36" s="266">
        <v>14.872000000000002</v>
      </c>
      <c r="E36" s="260">
        <v>125</v>
      </c>
      <c r="F36" s="87">
        <f t="shared" si="0"/>
        <v>239.87200000000001</v>
      </c>
      <c r="G36" s="266">
        <v>769.6</v>
      </c>
      <c r="H36" s="266">
        <v>21.632000000000001</v>
      </c>
      <c r="I36" s="260">
        <v>300</v>
      </c>
      <c r="J36" s="87">
        <f t="shared" si="1"/>
        <v>1091.232</v>
      </c>
      <c r="K36" s="266">
        <v>200</v>
      </c>
      <c r="L36" s="266">
        <v>7.4360000000000008</v>
      </c>
      <c r="M36" s="260">
        <v>60</v>
      </c>
      <c r="N36" s="87">
        <f t="shared" si="2"/>
        <v>267.43600000000004</v>
      </c>
      <c r="O36" s="266">
        <v>574.79999999999995</v>
      </c>
      <c r="P36" s="266">
        <v>15.548</v>
      </c>
      <c r="Q36" s="260">
        <v>800</v>
      </c>
      <c r="R36" s="87">
        <f t="shared" si="3"/>
        <v>1390.348</v>
      </c>
      <c r="S36" s="266">
        <v>100</v>
      </c>
      <c r="T36" s="266">
        <v>13.520000000000001</v>
      </c>
      <c r="U36" s="260">
        <v>100</v>
      </c>
      <c r="V36" s="87">
        <f t="shared" si="4"/>
        <v>213.51999999999998</v>
      </c>
      <c r="W36" s="266">
        <v>200</v>
      </c>
      <c r="X36" s="266">
        <v>6.7600000000000007</v>
      </c>
      <c r="Y36" s="260">
        <v>55</v>
      </c>
      <c r="Z36" s="87">
        <f t="shared" si="5"/>
        <v>261.76</v>
      </c>
      <c r="AA36" s="94">
        <f t="shared" si="12"/>
        <v>3464.1679999999997</v>
      </c>
      <c r="AB36" s="96" t="s">
        <v>53</v>
      </c>
      <c r="AC36" s="138"/>
      <c r="AD36" s="146">
        <v>29</v>
      </c>
      <c r="AE36" s="147" t="s">
        <v>32</v>
      </c>
      <c r="AF36" s="141">
        <f t="shared" si="15"/>
        <v>1944.3999999999999</v>
      </c>
      <c r="AG36" s="141">
        <f t="shared" si="15"/>
        <v>79.768000000000015</v>
      </c>
      <c r="AH36" s="141">
        <f t="shared" si="16"/>
        <v>1440</v>
      </c>
      <c r="AI36" s="108"/>
      <c r="AJ36" s="148">
        <v>29</v>
      </c>
      <c r="AK36" s="149" t="s">
        <v>32</v>
      </c>
      <c r="AL36" s="144">
        <f t="shared" si="8"/>
        <v>1944.3999999999999</v>
      </c>
      <c r="AM36" s="145">
        <f t="shared" si="9"/>
        <v>0.56128917535177281</v>
      </c>
      <c r="AN36" s="144">
        <f t="shared" si="13"/>
        <v>79.768000000000015</v>
      </c>
      <c r="AO36" s="145">
        <f t="shared" si="10"/>
        <v>2.3026596862507829E-2</v>
      </c>
      <c r="AP36" s="144">
        <f t="shared" si="14"/>
        <v>1440</v>
      </c>
      <c r="AQ36" s="145">
        <f t="shared" si="11"/>
        <v>0.41568422778571945</v>
      </c>
    </row>
    <row r="37" spans="1:43" x14ac:dyDescent="0.25">
      <c r="A37" s="156">
        <v>30</v>
      </c>
      <c r="B37" s="157" t="s">
        <v>33</v>
      </c>
      <c r="C37" s="259">
        <v>50</v>
      </c>
      <c r="D37" s="266">
        <v>4.7319999999999993</v>
      </c>
      <c r="E37" s="260">
        <v>50</v>
      </c>
      <c r="F37" s="87">
        <f t="shared" si="0"/>
        <v>104.732</v>
      </c>
      <c r="G37" s="266">
        <v>125.6</v>
      </c>
      <c r="H37" s="266">
        <v>33.124000000000009</v>
      </c>
      <c r="I37" s="260">
        <v>70</v>
      </c>
      <c r="J37" s="87">
        <f t="shared" si="1"/>
        <v>228.72399999999999</v>
      </c>
      <c r="K37" s="259">
        <v>0</v>
      </c>
      <c r="L37" s="266">
        <v>6.0840000000000014</v>
      </c>
      <c r="M37" s="260"/>
      <c r="N37" s="87">
        <f t="shared" si="2"/>
        <v>6.0840000000000014</v>
      </c>
      <c r="O37" s="266">
        <v>218</v>
      </c>
      <c r="P37" s="266">
        <v>7.4360000000000008</v>
      </c>
      <c r="Q37" s="260">
        <v>50</v>
      </c>
      <c r="R37" s="87">
        <f t="shared" si="3"/>
        <v>275.43600000000004</v>
      </c>
      <c r="S37" s="266">
        <v>180</v>
      </c>
      <c r="T37" s="266">
        <v>6.7600000000000007</v>
      </c>
      <c r="U37" s="260">
        <v>50</v>
      </c>
      <c r="V37" s="87">
        <f t="shared" si="4"/>
        <v>236.76</v>
      </c>
      <c r="W37" s="266">
        <v>200</v>
      </c>
      <c r="X37" s="260"/>
      <c r="Y37" s="260">
        <v>50</v>
      </c>
      <c r="Z37" s="87">
        <f t="shared" si="5"/>
        <v>250</v>
      </c>
      <c r="AA37" s="94">
        <f t="shared" si="12"/>
        <v>1101.7360000000001</v>
      </c>
      <c r="AB37" s="96" t="s">
        <v>53</v>
      </c>
      <c r="AC37" s="138"/>
      <c r="AD37" s="146">
        <v>30</v>
      </c>
      <c r="AE37" s="147" t="s">
        <v>33</v>
      </c>
      <c r="AF37" s="141">
        <f t="shared" si="15"/>
        <v>773.6</v>
      </c>
      <c r="AG37" s="141">
        <f t="shared" si="15"/>
        <v>58.13600000000001</v>
      </c>
      <c r="AH37" s="141">
        <f t="shared" si="16"/>
        <v>270</v>
      </c>
      <c r="AI37" s="108"/>
      <c r="AJ37" s="148">
        <v>30</v>
      </c>
      <c r="AK37" s="149" t="s">
        <v>33</v>
      </c>
      <c r="AL37" s="144">
        <f t="shared" si="8"/>
        <v>773.6</v>
      </c>
      <c r="AM37" s="145">
        <f t="shared" si="9"/>
        <v>0.70216458389305603</v>
      </c>
      <c r="AN37" s="144">
        <f t="shared" si="13"/>
        <v>58.13600000000001</v>
      </c>
      <c r="AO37" s="145">
        <f t="shared" si="10"/>
        <v>5.2767632173224804E-2</v>
      </c>
      <c r="AP37" s="144">
        <f t="shared" si="14"/>
        <v>270</v>
      </c>
      <c r="AQ37" s="145">
        <f t="shared" si="11"/>
        <v>0.24506778393371911</v>
      </c>
    </row>
    <row r="38" spans="1:43" ht="15.75" thickBot="1" x14ac:dyDescent="0.3">
      <c r="A38" s="158">
        <v>31</v>
      </c>
      <c r="B38" s="159" t="s">
        <v>34</v>
      </c>
      <c r="C38" s="261"/>
      <c r="D38" s="262"/>
      <c r="E38" s="262"/>
      <c r="F38" s="88">
        <f t="shared" si="0"/>
        <v>0</v>
      </c>
      <c r="G38" s="261"/>
      <c r="H38" s="262"/>
      <c r="I38" s="262"/>
      <c r="J38" s="88">
        <f t="shared" si="1"/>
        <v>0</v>
      </c>
      <c r="K38" s="261"/>
      <c r="L38" s="262"/>
      <c r="M38" s="262"/>
      <c r="N38" s="88">
        <f t="shared" si="2"/>
        <v>0</v>
      </c>
      <c r="O38" s="261"/>
      <c r="P38" s="262"/>
      <c r="Q38" s="262"/>
      <c r="R38" s="88">
        <f t="shared" si="3"/>
        <v>0</v>
      </c>
      <c r="S38" s="261"/>
      <c r="T38" s="262"/>
      <c r="U38" s="262"/>
      <c r="V38" s="88">
        <f t="shared" si="4"/>
        <v>0</v>
      </c>
      <c r="W38" s="261"/>
      <c r="X38" s="262"/>
      <c r="Y38" s="262"/>
      <c r="Z38" s="88">
        <f t="shared" si="5"/>
        <v>0</v>
      </c>
      <c r="AA38" s="94">
        <f t="shared" si="12"/>
        <v>0</v>
      </c>
      <c r="AB38" s="97" t="s">
        <v>53</v>
      </c>
      <c r="AC38" s="138"/>
      <c r="AD38" s="150">
        <v>31</v>
      </c>
      <c r="AE38" s="151" t="s">
        <v>34</v>
      </c>
      <c r="AF38" s="141">
        <f t="shared" si="15"/>
        <v>0</v>
      </c>
      <c r="AG38" s="141">
        <f t="shared" si="15"/>
        <v>0</v>
      </c>
      <c r="AH38" s="141">
        <f t="shared" si="16"/>
        <v>0</v>
      </c>
      <c r="AI38" s="108"/>
      <c r="AJ38" s="148">
        <v>31</v>
      </c>
      <c r="AK38" s="149" t="s">
        <v>34</v>
      </c>
      <c r="AL38" s="152">
        <f t="shared" si="8"/>
        <v>0</v>
      </c>
      <c r="AM38" s="153" t="e">
        <f t="shared" si="9"/>
        <v>#DIV/0!</v>
      </c>
      <c r="AN38" s="144">
        <f t="shared" si="13"/>
        <v>0</v>
      </c>
      <c r="AO38" s="145" t="e">
        <f t="shared" si="10"/>
        <v>#DIV/0!</v>
      </c>
      <c r="AP38" s="144">
        <f t="shared" si="14"/>
        <v>0</v>
      </c>
      <c r="AQ38" s="145" t="e">
        <f t="shared" si="11"/>
        <v>#DIV/0!</v>
      </c>
    </row>
    <row r="39" spans="1:43" ht="33.75" customHeight="1" thickBot="1" x14ac:dyDescent="0.3">
      <c r="A39" s="308" t="s">
        <v>58</v>
      </c>
      <c r="B39" s="309"/>
      <c r="C39" s="99">
        <f t="shared" ref="C39:I39" si="17">SUM(C8:C38)</f>
        <v>2119</v>
      </c>
      <c r="D39" s="100">
        <f t="shared" si="17"/>
        <v>456.976</v>
      </c>
      <c r="E39" s="100">
        <f t="shared" si="17"/>
        <v>3553</v>
      </c>
      <c r="F39" s="219">
        <f t="shared" si="17"/>
        <v>6128.9760000000006</v>
      </c>
      <c r="G39" s="101">
        <f t="shared" si="17"/>
        <v>12178.800000000001</v>
      </c>
      <c r="H39" s="102">
        <f t="shared" si="17"/>
        <v>600.96400000000006</v>
      </c>
      <c r="I39" s="102">
        <f t="shared" si="17"/>
        <v>6770</v>
      </c>
      <c r="J39" s="219">
        <f>SUM(J8:J38)</f>
        <v>19549.763999999996</v>
      </c>
      <c r="K39" s="101">
        <f>SUM(K8:K38)</f>
        <v>3928</v>
      </c>
      <c r="L39" s="102">
        <f>SUM(L8:L38)</f>
        <v>323.12800000000004</v>
      </c>
      <c r="M39" s="102">
        <f t="shared" ref="M39" si="18">SUM(M8:M38)</f>
        <v>1660</v>
      </c>
      <c r="N39" s="219">
        <f>SUM(N8:N38)</f>
        <v>5911.1279999999988</v>
      </c>
      <c r="O39" s="101">
        <f>SUM(O8:O38)</f>
        <v>21757.999999999996</v>
      </c>
      <c r="P39" s="102">
        <f>SUM(P8:P38)</f>
        <v>673.29599999999994</v>
      </c>
      <c r="Q39" s="102">
        <f t="shared" ref="Q39" si="19">SUM(Q8:Q38)</f>
        <v>14270</v>
      </c>
      <c r="R39" s="219">
        <f>SUM(R8:R38)</f>
        <v>36701.296000000002</v>
      </c>
      <c r="S39" s="101">
        <f>SUM(S8:S38)</f>
        <v>4452</v>
      </c>
      <c r="T39" s="102">
        <f>SUM(T8:T38)</f>
        <v>378.55999999999989</v>
      </c>
      <c r="U39" s="102">
        <f t="shared" ref="U39" si="20">SUM(U8:U38)</f>
        <v>1840</v>
      </c>
      <c r="V39" s="219">
        <f>SUM(V8:V38)</f>
        <v>6670.5599999999995</v>
      </c>
      <c r="W39" s="101">
        <f>SUM(W8:W38)</f>
        <v>5460</v>
      </c>
      <c r="X39" s="102">
        <f>SUM(X8:X38)</f>
        <v>236.59999999999997</v>
      </c>
      <c r="Y39" s="102">
        <f t="shared" ref="Y39" si="21">SUM(Y8:Y38)</f>
        <v>1800</v>
      </c>
      <c r="Z39" s="219">
        <f>SUM(Z8:Z38)</f>
        <v>7496.6000000000013</v>
      </c>
      <c r="AA39" s="220">
        <f>SUM(AA8:AA38)</f>
        <v>82458.324000000008</v>
      </c>
      <c r="AB39" s="221" t="s">
        <v>51</v>
      </c>
      <c r="AC39" s="103"/>
      <c r="AD39" s="104" t="s">
        <v>96</v>
      </c>
      <c r="AE39" s="105"/>
      <c r="AF39" s="106">
        <f>SUM(AF8:AF38)</f>
        <v>49895.799999999996</v>
      </c>
      <c r="AG39" s="106">
        <f>SUM(AG8:AG38)</f>
        <v>2669.5240000000008</v>
      </c>
      <c r="AH39" s="107">
        <f>SUM(AH8:AH38)</f>
        <v>29893</v>
      </c>
      <c r="AI39" s="108"/>
      <c r="AJ39" s="109" t="s">
        <v>94</v>
      </c>
      <c r="AK39" s="110"/>
      <c r="AL39" s="111">
        <f>SUM(AL8:AL38)</f>
        <v>49895.799999999996</v>
      </c>
      <c r="AM39" s="112" t="s">
        <v>64</v>
      </c>
      <c r="AN39" s="111">
        <f>SUM(AN8:AN38)</f>
        <v>2669.5240000000008</v>
      </c>
      <c r="AO39" s="113" t="s">
        <v>64</v>
      </c>
      <c r="AP39" s="111">
        <f>SUM(AP8:AP38)</f>
        <v>29893</v>
      </c>
      <c r="AQ39" s="113" t="s">
        <v>64</v>
      </c>
    </row>
    <row r="40" spans="1:43" ht="33.75" customHeight="1" thickBot="1" x14ac:dyDescent="0.3">
      <c r="A40" s="308" t="s">
        <v>59</v>
      </c>
      <c r="B40" s="309"/>
      <c r="C40" s="114">
        <f>C39/1000</f>
        <v>2.1190000000000002</v>
      </c>
      <c r="D40" s="115">
        <f t="shared" ref="D40:E40" si="22">D39/1000</f>
        <v>0.45697599999999999</v>
      </c>
      <c r="E40" s="115">
        <f t="shared" si="22"/>
        <v>3.5529999999999999</v>
      </c>
      <c r="F40" s="222">
        <f>F39/1000</f>
        <v>6.1289760000000006</v>
      </c>
      <c r="G40" s="116">
        <f>G39/1000</f>
        <v>12.178800000000001</v>
      </c>
      <c r="H40" s="117">
        <f t="shared" ref="H40:I40" si="23">H39/1000</f>
        <v>0.60096400000000005</v>
      </c>
      <c r="I40" s="117">
        <f t="shared" si="23"/>
        <v>6.77</v>
      </c>
      <c r="J40" s="222">
        <f>J39/1000</f>
        <v>19.549763999999996</v>
      </c>
      <c r="K40" s="116">
        <f>K39/1000</f>
        <v>3.9279999999999999</v>
      </c>
      <c r="L40" s="117">
        <f t="shared" ref="L40:M40" si="24">L39/1000</f>
        <v>0.32312800000000003</v>
      </c>
      <c r="M40" s="117">
        <f t="shared" si="24"/>
        <v>1.66</v>
      </c>
      <c r="N40" s="222">
        <f>N39/1000</f>
        <v>5.9111279999999988</v>
      </c>
      <c r="O40" s="116">
        <f>O39/1000</f>
        <v>21.757999999999996</v>
      </c>
      <c r="P40" s="117">
        <f t="shared" ref="P40:Q40" si="25">P39/1000</f>
        <v>0.67329599999999989</v>
      </c>
      <c r="Q40" s="117">
        <f t="shared" si="25"/>
        <v>14.27</v>
      </c>
      <c r="R40" s="222">
        <f>R39/1000</f>
        <v>36.701295999999999</v>
      </c>
      <c r="S40" s="116">
        <f>S39/1000</f>
        <v>4.452</v>
      </c>
      <c r="T40" s="117">
        <f t="shared" ref="T40" si="26">T39/1000</f>
        <v>0.3785599999999999</v>
      </c>
      <c r="U40" s="117">
        <f>U39/1000</f>
        <v>1.84</v>
      </c>
      <c r="V40" s="222">
        <f>V39/1000</f>
        <v>6.6705599999999992</v>
      </c>
      <c r="W40" s="116">
        <f>W39/1000</f>
        <v>5.46</v>
      </c>
      <c r="X40" s="117">
        <f t="shared" ref="X40:Y40" si="27">X39/1000</f>
        <v>0.23659999999999998</v>
      </c>
      <c r="Y40" s="117">
        <f t="shared" si="27"/>
        <v>1.8</v>
      </c>
      <c r="Z40" s="222">
        <f>Z39/1000</f>
        <v>7.4966000000000017</v>
      </c>
      <c r="AA40" s="223">
        <f>AA39/1000</f>
        <v>82.458324000000005</v>
      </c>
      <c r="AB40" s="224" t="s">
        <v>52</v>
      </c>
      <c r="AC40" s="103"/>
      <c r="AD40" s="118" t="s">
        <v>97</v>
      </c>
      <c r="AE40" s="119"/>
      <c r="AF40" s="120">
        <f>AF39/1000</f>
        <v>49.895799999999994</v>
      </c>
      <c r="AG40" s="120">
        <f t="shared" ref="AG40:AH40" si="28">AG39/1000</f>
        <v>2.6695240000000009</v>
      </c>
      <c r="AH40" s="121">
        <f t="shared" si="28"/>
        <v>29.893000000000001</v>
      </c>
      <c r="AI40" s="108"/>
      <c r="AJ40" s="109" t="s">
        <v>95</v>
      </c>
      <c r="AK40" s="110"/>
      <c r="AL40" s="122">
        <f>AL39/1000</f>
        <v>49.895799999999994</v>
      </c>
      <c r="AM40" s="123">
        <f>AL40/AA40</f>
        <v>0.60510325191668934</v>
      </c>
      <c r="AN40" s="122">
        <f>AN39/1000</f>
        <v>2.6695240000000009</v>
      </c>
      <c r="AO40" s="124">
        <f>AN40/AA40</f>
        <v>3.237422094584412E-2</v>
      </c>
      <c r="AP40" s="122">
        <f>AP39/1000</f>
        <v>29.893000000000001</v>
      </c>
      <c r="AQ40" s="124">
        <f>AP40/AA40</f>
        <v>0.36252252713746641</v>
      </c>
    </row>
    <row r="41" spans="1:43" ht="33.75" customHeight="1" thickBot="1" x14ac:dyDescent="0.3">
      <c r="A41" s="308" t="s">
        <v>74</v>
      </c>
      <c r="B41" s="309"/>
      <c r="C41" s="114">
        <f>_xlfn.AGGREGATE(1,7,C8:C38)</f>
        <v>70.63333333333334</v>
      </c>
      <c r="D41" s="114">
        <f>_xlfn.AGGREGATE(1,7,D8:D38)</f>
        <v>15.232533333333333</v>
      </c>
      <c r="E41" s="114">
        <f>_xlfn.AGGREGATE(1,7,E8:E38)</f>
        <v>118.43333333333334</v>
      </c>
      <c r="F41" s="222">
        <f>AVERAGEIF(F8:F38,"&gt;0")</f>
        <v>235.72984615384618</v>
      </c>
      <c r="G41" s="114">
        <f>_xlfn.AGGREGATE(1,7,G8:G38)</f>
        <v>405.96000000000004</v>
      </c>
      <c r="H41" s="114">
        <f>_xlfn.AGGREGATE(1,7,H8:H38)</f>
        <v>20.032133333333334</v>
      </c>
      <c r="I41" s="114">
        <f>_xlfn.AGGREGATE(1,7,I8:I38)</f>
        <v>225.66666666666666</v>
      </c>
      <c r="J41" s="222">
        <f>AVERAGEIF(J8:J38,"&gt;0")</f>
        <v>751.91399999999987</v>
      </c>
      <c r="K41" s="114">
        <f>_xlfn.AGGREGATE(1,7,K8:K38)</f>
        <v>130.93333333333334</v>
      </c>
      <c r="L41" s="114">
        <f>_xlfn.AGGREGATE(1,7,L8:L38)</f>
        <v>10.770933333333335</v>
      </c>
      <c r="M41" s="114">
        <f>_xlfn.AGGREGATE(1,7,M8:M38)</f>
        <v>87.368421052631575</v>
      </c>
      <c r="N41" s="222">
        <f>AVERAGEIF(N8:N38,"&gt;0")</f>
        <v>197.03759999999997</v>
      </c>
      <c r="O41" s="114">
        <f>_xlfn.AGGREGATE(1,7,O8:O38)</f>
        <v>725.26666666666654</v>
      </c>
      <c r="P41" s="114">
        <f>_xlfn.AGGREGATE(1,7,P8:P38)</f>
        <v>22.443199999999997</v>
      </c>
      <c r="Q41" s="114">
        <f>_xlfn.AGGREGATE(1,7,Q8:Q38)</f>
        <v>475.66666666666669</v>
      </c>
      <c r="R41" s="222">
        <f>AVERAGEIF(R8:R38,"&gt;0")</f>
        <v>1223.3765333333333</v>
      </c>
      <c r="S41" s="114">
        <f>_xlfn.AGGREGATE(1,7,S8:S38)</f>
        <v>148.4</v>
      </c>
      <c r="T41" s="114">
        <f>_xlfn.AGGREGATE(1,7,T8:T38)</f>
        <v>12.618666666666662</v>
      </c>
      <c r="U41" s="114">
        <f>_xlfn.AGGREGATE(1,7,U8:U38)</f>
        <v>65.714285714285708</v>
      </c>
      <c r="V41" s="222">
        <f>AVERAGEIF(V8:V38,"&gt;0")</f>
        <v>230.01931034482757</v>
      </c>
      <c r="W41" s="114">
        <f>_xlfn.AGGREGATE(1,7,W8:W38)</f>
        <v>182</v>
      </c>
      <c r="X41" s="114">
        <f>_xlfn.AGGREGATE(1,7,X8:X38)</f>
        <v>8.1586206896551712</v>
      </c>
      <c r="Y41" s="114">
        <f>_xlfn.AGGREGATE(1,7,Y8:Y38)</f>
        <v>60</v>
      </c>
      <c r="Z41" s="222">
        <f>AVERAGEIF(Z8:Z38,"&gt;0")</f>
        <v>249.88666666666671</v>
      </c>
      <c r="AA41" s="223">
        <f>AVERAGEIF(AA8:AA38,"&gt;0")</f>
        <v>2748.6108000000004</v>
      </c>
      <c r="AB41" s="225" t="s">
        <v>75</v>
      </c>
      <c r="AC41" s="103"/>
      <c r="AD41" s="118" t="s">
        <v>98</v>
      </c>
      <c r="AE41" s="119"/>
      <c r="AF41" s="125">
        <f>AVERAGEIF(AF8:AF38,"&gt;0")</f>
        <v>1663.1933333333332</v>
      </c>
      <c r="AG41" s="125">
        <f>AVERAGEIF(AG8:AG38,"&gt;0")</f>
        <v>88.984133333333361</v>
      </c>
      <c r="AH41" s="125">
        <f>AVERAGEIF(AH8:AH38,"&gt;0")</f>
        <v>996.43333333333328</v>
      </c>
      <c r="AI41" s="108"/>
      <c r="AJ41" s="109" t="s">
        <v>99</v>
      </c>
      <c r="AK41" s="110"/>
      <c r="AL41" s="125">
        <f>AVERAGEIF(AL8:AL38,"&gt;0")</f>
        <v>1663.1933333333332</v>
      </c>
      <c r="AM41" s="126" t="s">
        <v>64</v>
      </c>
      <c r="AN41" s="125">
        <f>AVERAGEIF(AN8:AN38,"&gt;0")</f>
        <v>88.984133333333361</v>
      </c>
      <c r="AO41" s="124" t="s">
        <v>64</v>
      </c>
      <c r="AP41" s="125">
        <f>AVERAGEIF(AP8:AP38,"&gt;0")</f>
        <v>996.43333333333328</v>
      </c>
      <c r="AQ41" s="124" t="s">
        <v>64</v>
      </c>
    </row>
    <row r="42" spans="1:43" x14ac:dyDescent="0.25">
      <c r="J42" s="89" t="s">
        <v>61</v>
      </c>
    </row>
    <row r="44" spans="1:43" x14ac:dyDescent="0.25">
      <c r="A44" s="128" t="s">
        <v>61</v>
      </c>
      <c r="C44" s="130" t="s">
        <v>50</v>
      </c>
      <c r="D44" s="131"/>
    </row>
    <row r="45" spans="1:43" x14ac:dyDescent="0.25">
      <c r="C45" s="132"/>
      <c r="D45" s="131" t="s">
        <v>133</v>
      </c>
    </row>
    <row r="46" spans="1:43" x14ac:dyDescent="0.25">
      <c r="C46" s="133"/>
      <c r="D46" s="131" t="s">
        <v>100</v>
      </c>
    </row>
    <row r="47" spans="1:43" x14ac:dyDescent="0.25">
      <c r="C47" s="134"/>
      <c r="D47" s="131" t="s">
        <v>100</v>
      </c>
    </row>
    <row r="48" spans="1:43" x14ac:dyDescent="0.25">
      <c r="C48" s="135"/>
      <c r="D48" s="131" t="s">
        <v>100</v>
      </c>
    </row>
    <row r="49" spans="3:5" x14ac:dyDescent="0.25">
      <c r="C49" s="136"/>
      <c r="D49" s="131" t="s">
        <v>100</v>
      </c>
    </row>
    <row r="50" spans="3:5" x14ac:dyDescent="0.25">
      <c r="C50" s="137"/>
      <c r="D50" s="131" t="s">
        <v>100</v>
      </c>
    </row>
    <row r="51" spans="3:5" x14ac:dyDescent="0.25">
      <c r="E51" s="129" t="s">
        <v>61</v>
      </c>
    </row>
  </sheetData>
  <sheetProtection algorithmName="SHA-512" hashValue="y3QAQZSDuAHkL6oiHwpADvcpnkp4WY3aApRd2liADJadh/kUMJjK8/AVxPaeFoSNUEmlIecXEMeRhT0sK8z2zg==" saltValue="B6ptGdNBWQ5BEwsRi5/WgQ==" spinCount="100000" sheet="1" objects="1" scenarios="1" formatColumns="0" formatRows="0"/>
  <mergeCells count="14">
    <mergeCell ref="A41:B41"/>
    <mergeCell ref="W6:Y6"/>
    <mergeCell ref="A4:A7"/>
    <mergeCell ref="B4:B7"/>
    <mergeCell ref="A39:B39"/>
    <mergeCell ref="A40:B40"/>
    <mergeCell ref="AJ6:AQ6"/>
    <mergeCell ref="AA3:AA7"/>
    <mergeCell ref="AB3:AB7"/>
    <mergeCell ref="C6:E6"/>
    <mergeCell ref="G6:I6"/>
    <mergeCell ref="K6:M6"/>
    <mergeCell ref="O6:Q6"/>
    <mergeCell ref="S6:U6"/>
  </mergeCells>
  <printOptions horizontalCentered="1"/>
  <pageMargins left="0.19685039370078741" right="0.19685039370078741" top="0.39370078740157483" bottom="0.39370078740157483" header="0.11811023622047245" footer="0.11811023622047245"/>
  <pageSetup paperSize="9" scale="6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46D9E-91D4-4020-8E4B-7D42DA0D2954}">
  <sheetPr>
    <tabColor rgb="FFFFFF00"/>
    <pageSetUpPr fitToPage="1"/>
  </sheetPr>
  <dimension ref="A1:AQ51"/>
  <sheetViews>
    <sheetView showGridLines="0" view="pageBreakPreview" zoomScale="85" zoomScaleNormal="107" zoomScaleSheetLayoutView="90" workbookViewId="0">
      <pane xSplit="2" ySplit="7" topLeftCell="C30" activePane="bottomRight" state="frozen"/>
      <selection activeCell="H31" sqref="H31"/>
      <selection pane="topRight" activeCell="H31" sqref="H31"/>
      <selection pane="bottomLeft" activeCell="H31" sqref="H31"/>
      <selection pane="bottomRight" activeCell="X9" activeCellId="5" sqref="D9:D38 H8:H37 L8:L38 P8:P38 T9:T26 X9:X37"/>
    </sheetView>
  </sheetViews>
  <sheetFormatPr defaultColWidth="9.140625" defaultRowHeight="15" x14ac:dyDescent="0.25"/>
  <cols>
    <col min="1" max="1" width="11.42578125" style="128" customWidth="1"/>
    <col min="2" max="2" width="7.28515625" style="128" customWidth="1"/>
    <col min="3" max="3" width="8.42578125" style="129" customWidth="1"/>
    <col min="4" max="4" width="6.5703125" style="129" customWidth="1"/>
    <col min="5" max="5" width="8.140625" style="129" customWidth="1"/>
    <col min="6" max="6" width="8.42578125" style="89" customWidth="1"/>
    <col min="7" max="7" width="7.42578125" style="129" customWidth="1"/>
    <col min="8" max="8" width="6.5703125" style="129" customWidth="1"/>
    <col min="9" max="9" width="8.5703125" style="129" customWidth="1"/>
    <col min="10" max="10" width="9.140625" style="89" customWidth="1"/>
    <col min="11" max="11" width="7.28515625" style="129" customWidth="1"/>
    <col min="12" max="12" width="6.5703125" style="129" customWidth="1"/>
    <col min="13" max="13" width="8.140625" style="129" customWidth="1"/>
    <col min="14" max="14" width="7.7109375" style="89" customWidth="1"/>
    <col min="15" max="15" width="8" style="129" customWidth="1"/>
    <col min="16" max="16" width="6.5703125" style="129" customWidth="1"/>
    <col min="17" max="17" width="8.7109375" style="129" customWidth="1"/>
    <col min="18" max="18" width="8.5703125" style="89" customWidth="1"/>
    <col min="19" max="19" width="7.42578125" style="129" customWidth="1"/>
    <col min="20" max="20" width="6.5703125" style="129" customWidth="1"/>
    <col min="21" max="21" width="8.42578125" style="129" customWidth="1"/>
    <col min="22" max="22" width="9" style="89" customWidth="1"/>
    <col min="23" max="23" width="7.28515625" style="129" customWidth="1"/>
    <col min="24" max="24" width="6.5703125" style="129" customWidth="1"/>
    <col min="25" max="25" width="8.28515625" style="129" customWidth="1"/>
    <col min="26" max="26" width="7.7109375" style="89" customWidth="1"/>
    <col min="27" max="27" width="10.42578125" style="91" customWidth="1"/>
    <col min="28" max="28" width="12" style="98" customWidth="1"/>
    <col min="29" max="29" width="8.5703125" style="98" hidden="1" customWidth="1"/>
    <col min="30" max="30" width="14.140625" style="129" hidden="1" customWidth="1"/>
    <col min="31" max="31" width="10.140625" style="129" hidden="1" customWidth="1"/>
    <col min="32" max="32" width="11.7109375" style="129" hidden="1" customWidth="1"/>
    <col min="33" max="34" width="10.7109375" style="129" hidden="1" customWidth="1"/>
    <col min="35" max="35" width="8.5703125" style="129" hidden="1" customWidth="1"/>
    <col min="36" max="36" width="15.85546875" style="129" hidden="1" customWidth="1"/>
    <col min="37" max="37" width="10.140625" style="129" hidden="1" customWidth="1"/>
    <col min="38" max="38" width="7.7109375" style="129" hidden="1" customWidth="1"/>
    <col min="39" max="39" width="11.5703125" style="129" hidden="1" customWidth="1"/>
    <col min="40" max="40" width="6.5703125" style="129" hidden="1" customWidth="1"/>
    <col min="41" max="41" width="11.85546875" style="129" hidden="1" customWidth="1"/>
    <col min="42" max="42" width="6.5703125" style="129" hidden="1" customWidth="1"/>
    <col min="43" max="43" width="11.85546875" style="129" hidden="1" customWidth="1"/>
    <col min="44" max="16384" width="9.140625" style="98"/>
  </cols>
  <sheetData>
    <row r="1" spans="1:43" x14ac:dyDescent="0.25">
      <c r="A1" s="226" t="s">
        <v>116</v>
      </c>
      <c r="B1" s="227" t="str">
        <f>'Rekap Neraca Pengelolaan Sampah'!C3</f>
        <v>PT PELINDO DAYA SEJAHTERA</v>
      </c>
    </row>
    <row r="2" spans="1:43" ht="15.75" thickBot="1" x14ac:dyDescent="0.3">
      <c r="A2" s="226" t="s">
        <v>42</v>
      </c>
      <c r="B2" s="227">
        <f>'Rekap Neraca Pengelolaan Sampah'!D2</f>
        <v>2024</v>
      </c>
    </row>
    <row r="3" spans="1:43" ht="15.75" thickBot="1" x14ac:dyDescent="0.3">
      <c r="A3" s="160" t="s">
        <v>2</v>
      </c>
      <c r="B3" s="82" t="s">
        <v>68</v>
      </c>
      <c r="C3" s="160" t="s">
        <v>36</v>
      </c>
      <c r="D3" s="90"/>
      <c r="E3" s="90"/>
      <c r="F3" s="82"/>
      <c r="G3" s="160" t="s">
        <v>36</v>
      </c>
      <c r="H3" s="90"/>
      <c r="I3" s="90"/>
      <c r="J3" s="90"/>
      <c r="K3" s="160" t="s">
        <v>36</v>
      </c>
      <c r="L3" s="90"/>
      <c r="M3" s="90"/>
      <c r="N3" s="90"/>
      <c r="O3" s="160" t="s">
        <v>36</v>
      </c>
      <c r="P3" s="90"/>
      <c r="Q3" s="90"/>
      <c r="R3" s="90"/>
      <c r="S3" s="160" t="s">
        <v>36</v>
      </c>
      <c r="T3" s="90"/>
      <c r="U3" s="90"/>
      <c r="V3" s="90"/>
      <c r="W3" s="160" t="s">
        <v>36</v>
      </c>
      <c r="X3" s="90"/>
      <c r="Y3" s="90"/>
      <c r="Z3" s="90"/>
      <c r="AA3" s="297" t="s">
        <v>125</v>
      </c>
      <c r="AB3" s="300" t="s">
        <v>57</v>
      </c>
      <c r="AD3" s="161" t="s">
        <v>54</v>
      </c>
      <c r="AE3" s="162"/>
      <c r="AF3" s="162"/>
      <c r="AG3" s="162"/>
      <c r="AH3" s="163"/>
      <c r="AI3" s="91"/>
      <c r="AJ3" s="164" t="s">
        <v>56</v>
      </c>
      <c r="AK3" s="165"/>
      <c r="AL3" s="165"/>
      <c r="AM3" s="165"/>
      <c r="AN3" s="165"/>
      <c r="AO3" s="165"/>
      <c r="AP3" s="165"/>
      <c r="AQ3" s="165"/>
    </row>
    <row r="4" spans="1:43" ht="15" customHeight="1" x14ac:dyDescent="0.25">
      <c r="A4" s="310" t="s">
        <v>0</v>
      </c>
      <c r="B4" s="313" t="s">
        <v>87</v>
      </c>
      <c r="C4" s="98" t="s">
        <v>37</v>
      </c>
      <c r="D4" s="98"/>
      <c r="E4" s="98"/>
      <c r="F4" s="83"/>
      <c r="G4" s="166" t="s">
        <v>37</v>
      </c>
      <c r="H4" s="98"/>
      <c r="I4" s="98"/>
      <c r="J4" s="91"/>
      <c r="K4" s="166" t="s">
        <v>37</v>
      </c>
      <c r="L4" s="98"/>
      <c r="M4" s="98"/>
      <c r="N4" s="91"/>
      <c r="O4" s="166" t="s">
        <v>37</v>
      </c>
      <c r="P4" s="98"/>
      <c r="Q4" s="98"/>
      <c r="R4" s="91"/>
      <c r="S4" s="166" t="s">
        <v>37</v>
      </c>
      <c r="T4" s="98"/>
      <c r="U4" s="98"/>
      <c r="V4" s="91"/>
      <c r="W4" s="166" t="s">
        <v>37</v>
      </c>
      <c r="X4" s="98"/>
      <c r="Y4" s="98"/>
      <c r="Z4" s="91"/>
      <c r="AA4" s="298"/>
      <c r="AB4" s="301"/>
      <c r="AD4" s="167" t="s">
        <v>55</v>
      </c>
      <c r="AE4" s="168"/>
      <c r="AF4" s="168"/>
      <c r="AG4" s="169"/>
      <c r="AH4" s="170"/>
      <c r="AI4" s="98"/>
      <c r="AJ4" s="171" t="s">
        <v>126</v>
      </c>
      <c r="AK4" s="172"/>
      <c r="AL4" s="172"/>
      <c r="AM4" s="173"/>
      <c r="AN4" s="173"/>
      <c r="AO4" s="173"/>
      <c r="AP4" s="173"/>
      <c r="AQ4" s="173"/>
    </row>
    <row r="5" spans="1:43" ht="15.75" thickBot="1" x14ac:dyDescent="0.3">
      <c r="A5" s="311"/>
      <c r="B5" s="314"/>
      <c r="C5" s="91" t="s">
        <v>3</v>
      </c>
      <c r="D5" s="91"/>
      <c r="E5" s="91"/>
      <c r="F5" s="83"/>
      <c r="G5" s="174" t="s">
        <v>3</v>
      </c>
      <c r="H5" s="91"/>
      <c r="I5" s="91"/>
      <c r="J5" s="91"/>
      <c r="K5" s="174" t="s">
        <v>3</v>
      </c>
      <c r="L5" s="91"/>
      <c r="M5" s="91"/>
      <c r="N5" s="91"/>
      <c r="O5" s="174" t="s">
        <v>3</v>
      </c>
      <c r="P5" s="91"/>
      <c r="Q5" s="91"/>
      <c r="R5" s="91"/>
      <c r="S5" s="174" t="s">
        <v>3</v>
      </c>
      <c r="T5" s="91"/>
      <c r="U5" s="91"/>
      <c r="V5" s="91"/>
      <c r="W5" s="174" t="s">
        <v>3</v>
      </c>
      <c r="X5" s="91"/>
      <c r="Y5" s="91"/>
      <c r="Z5" s="91"/>
      <c r="AA5" s="298"/>
      <c r="AB5" s="301"/>
      <c r="AD5" s="175" t="s">
        <v>37</v>
      </c>
      <c r="AE5" s="169"/>
      <c r="AF5" s="169"/>
      <c r="AG5" s="168"/>
      <c r="AH5" s="176"/>
      <c r="AI5" s="91"/>
      <c r="AJ5" s="177" t="s">
        <v>91</v>
      </c>
      <c r="AK5" s="178" t="str">
        <f>B3</f>
        <v>Desember</v>
      </c>
      <c r="AL5" s="178" t="s">
        <v>63</v>
      </c>
      <c r="AM5" s="178" t="str">
        <f>B4</f>
        <v>Tanggal</v>
      </c>
      <c r="AN5" s="179"/>
      <c r="AO5" s="179"/>
      <c r="AP5" s="179"/>
      <c r="AQ5" s="179"/>
    </row>
    <row r="6" spans="1:43" ht="30.75" customHeight="1" thickBot="1" x14ac:dyDescent="0.3">
      <c r="A6" s="311"/>
      <c r="B6" s="314"/>
      <c r="C6" s="316" t="s">
        <v>109</v>
      </c>
      <c r="D6" s="303"/>
      <c r="E6" s="303"/>
      <c r="F6" s="84"/>
      <c r="G6" s="304" t="s">
        <v>123</v>
      </c>
      <c r="H6" s="305"/>
      <c r="I6" s="305"/>
      <c r="J6" s="92"/>
      <c r="K6" s="306" t="s">
        <v>111</v>
      </c>
      <c r="L6" s="307"/>
      <c r="M6" s="307"/>
      <c r="N6" s="93"/>
      <c r="O6" s="306" t="s">
        <v>115</v>
      </c>
      <c r="P6" s="307"/>
      <c r="Q6" s="307"/>
      <c r="R6" s="93"/>
      <c r="S6" s="304" t="s">
        <v>124</v>
      </c>
      <c r="T6" s="305"/>
      <c r="U6" s="305"/>
      <c r="V6" s="92"/>
      <c r="W6" s="304" t="s">
        <v>84</v>
      </c>
      <c r="X6" s="305"/>
      <c r="Y6" s="305"/>
      <c r="Z6" s="93"/>
      <c r="AA6" s="298"/>
      <c r="AB6" s="301"/>
      <c r="AD6" s="180" t="s">
        <v>91</v>
      </c>
      <c r="AE6" s="181" t="str">
        <f>B3</f>
        <v>Desember</v>
      </c>
      <c r="AF6" s="181" t="s">
        <v>63</v>
      </c>
      <c r="AG6" s="169" t="str">
        <f>B4</f>
        <v>Tanggal</v>
      </c>
      <c r="AH6" s="170"/>
      <c r="AI6" s="98"/>
      <c r="AJ6" s="296" t="s">
        <v>93</v>
      </c>
      <c r="AK6" s="296"/>
      <c r="AL6" s="296"/>
      <c r="AM6" s="296"/>
      <c r="AN6" s="296"/>
      <c r="AO6" s="296"/>
      <c r="AP6" s="296"/>
      <c r="AQ6" s="296"/>
    </row>
    <row r="7" spans="1:43" s="191" customFormat="1" ht="120.75" customHeight="1" thickBot="1" x14ac:dyDescent="0.3">
      <c r="A7" s="312"/>
      <c r="B7" s="315"/>
      <c r="C7" s="184" t="s">
        <v>85</v>
      </c>
      <c r="D7" s="182" t="s">
        <v>108</v>
      </c>
      <c r="E7" s="183" t="s">
        <v>145</v>
      </c>
      <c r="F7" s="85" t="s">
        <v>131</v>
      </c>
      <c r="G7" s="184" t="s">
        <v>85</v>
      </c>
      <c r="H7" s="182" t="s">
        <v>108</v>
      </c>
      <c r="I7" s="183" t="s">
        <v>145</v>
      </c>
      <c r="J7" s="85" t="s">
        <v>131</v>
      </c>
      <c r="K7" s="184" t="s">
        <v>85</v>
      </c>
      <c r="L7" s="182" t="s">
        <v>108</v>
      </c>
      <c r="M7" s="183" t="s">
        <v>145</v>
      </c>
      <c r="N7" s="85" t="s">
        <v>131</v>
      </c>
      <c r="O7" s="184" t="s">
        <v>85</v>
      </c>
      <c r="P7" s="182" t="s">
        <v>108</v>
      </c>
      <c r="Q7" s="183" t="s">
        <v>145</v>
      </c>
      <c r="R7" s="85" t="s">
        <v>131</v>
      </c>
      <c r="S7" s="184" t="s">
        <v>85</v>
      </c>
      <c r="T7" s="182" t="s">
        <v>108</v>
      </c>
      <c r="U7" s="183" t="s">
        <v>145</v>
      </c>
      <c r="V7" s="85" t="s">
        <v>131</v>
      </c>
      <c r="W7" s="184" t="s">
        <v>85</v>
      </c>
      <c r="X7" s="182" t="s">
        <v>108</v>
      </c>
      <c r="Y7" s="183" t="s">
        <v>145</v>
      </c>
      <c r="Z7" s="85" t="s">
        <v>131</v>
      </c>
      <c r="AA7" s="299"/>
      <c r="AB7" s="302"/>
      <c r="AC7" s="185"/>
      <c r="AD7" s="186" t="s">
        <v>90</v>
      </c>
      <c r="AE7" s="187" t="s">
        <v>87</v>
      </c>
      <c r="AF7" s="188" t="s">
        <v>92</v>
      </c>
      <c r="AG7" s="188" t="s">
        <v>110</v>
      </c>
      <c r="AH7" s="188" t="s">
        <v>101</v>
      </c>
      <c r="AI7" s="185"/>
      <c r="AJ7" s="189" t="s">
        <v>90</v>
      </c>
      <c r="AK7" s="189" t="s">
        <v>87</v>
      </c>
      <c r="AL7" s="190" t="s">
        <v>40</v>
      </c>
      <c r="AM7" s="190" t="s">
        <v>60</v>
      </c>
      <c r="AN7" s="190" t="s">
        <v>38</v>
      </c>
      <c r="AO7" s="190" t="s">
        <v>39</v>
      </c>
      <c r="AP7" s="190" t="s">
        <v>103</v>
      </c>
      <c r="AQ7" s="190" t="s">
        <v>102</v>
      </c>
    </row>
    <row r="8" spans="1:43" x14ac:dyDescent="0.25">
      <c r="A8" s="154">
        <v>1</v>
      </c>
      <c r="B8" s="155" t="s">
        <v>4</v>
      </c>
      <c r="C8" s="257"/>
      <c r="D8" s="258"/>
      <c r="E8" s="258">
        <v>0</v>
      </c>
      <c r="F8" s="86">
        <f t="shared" ref="F8:F38" si="0">SUM(C8:E8)</f>
        <v>0</v>
      </c>
      <c r="G8" s="266">
        <v>10</v>
      </c>
      <c r="H8" s="266">
        <v>14.559999999999999</v>
      </c>
      <c r="I8" s="258">
        <v>0</v>
      </c>
      <c r="J8" s="86">
        <f t="shared" ref="J8:J38" si="1">SUM(G8:I8)</f>
        <v>24.56</v>
      </c>
      <c r="K8" s="257"/>
      <c r="L8" s="266">
        <v>5.7200000000000006</v>
      </c>
      <c r="M8" s="258"/>
      <c r="N8" s="86">
        <f t="shared" ref="N8:N38" si="2">SUM(K8:M8)</f>
        <v>5.7200000000000006</v>
      </c>
      <c r="O8" s="266">
        <v>18</v>
      </c>
      <c r="P8" s="266">
        <v>19.240000000000002</v>
      </c>
      <c r="Q8" s="258">
        <v>0</v>
      </c>
      <c r="R8" s="86">
        <f t="shared" ref="R8:R38" si="3">SUM(O8:Q8)</f>
        <v>37.24</v>
      </c>
      <c r="S8" s="257"/>
      <c r="T8" s="258"/>
      <c r="U8" s="258"/>
      <c r="V8" s="86">
        <f t="shared" ref="V8:V38" si="4">SUM(S8:U8)</f>
        <v>0</v>
      </c>
      <c r="W8" s="257"/>
      <c r="X8" s="258"/>
      <c r="Y8" s="258"/>
      <c r="Z8" s="86">
        <f t="shared" ref="Z8:Z38" si="5">SUM(W8:Y8)</f>
        <v>0</v>
      </c>
      <c r="AA8" s="94">
        <f>(F8+J8+N8+R8+V8+Z8)</f>
        <v>67.52000000000001</v>
      </c>
      <c r="AB8" s="95" t="s">
        <v>53</v>
      </c>
      <c r="AC8" s="138"/>
      <c r="AD8" s="139">
        <v>1</v>
      </c>
      <c r="AE8" s="140" t="s">
        <v>4</v>
      </c>
      <c r="AF8" s="141">
        <f t="shared" ref="AF8:AG16" si="6">(C8+G8+K8+O8+S8+W8)</f>
        <v>28</v>
      </c>
      <c r="AG8" s="141">
        <f t="shared" si="6"/>
        <v>39.520000000000003</v>
      </c>
      <c r="AH8" s="141">
        <f t="shared" ref="AH8:AH16" si="7">(E8+I8+M8+Q8++U8+Y8)</f>
        <v>0</v>
      </c>
      <c r="AI8" s="108"/>
      <c r="AJ8" s="142">
        <v>1</v>
      </c>
      <c r="AK8" s="143" t="s">
        <v>4</v>
      </c>
      <c r="AL8" s="144">
        <f t="shared" ref="AL8:AL38" si="8">AF8</f>
        <v>28</v>
      </c>
      <c r="AM8" s="145">
        <f t="shared" ref="AM8:AM38" si="9">AL8/AA8</f>
        <v>0.41469194312796204</v>
      </c>
      <c r="AN8" s="144">
        <f>AG8</f>
        <v>39.520000000000003</v>
      </c>
      <c r="AO8" s="145">
        <f t="shared" ref="AO8:AO38" si="10">AN8/AA8</f>
        <v>0.58530805687203791</v>
      </c>
      <c r="AP8" s="144">
        <f>AH8</f>
        <v>0</v>
      </c>
      <c r="AQ8" s="145">
        <f t="shared" ref="AQ8:AQ38" si="11">AP8/AA8</f>
        <v>0</v>
      </c>
    </row>
    <row r="9" spans="1:43" x14ac:dyDescent="0.25">
      <c r="A9" s="156">
        <v>2</v>
      </c>
      <c r="B9" s="157" t="s">
        <v>5</v>
      </c>
      <c r="C9" s="266">
        <v>200</v>
      </c>
      <c r="D9" s="266">
        <v>20.8</v>
      </c>
      <c r="E9" s="260">
        <v>52</v>
      </c>
      <c r="F9" s="87">
        <f t="shared" si="0"/>
        <v>272.8</v>
      </c>
      <c r="G9" s="266">
        <v>1814</v>
      </c>
      <c r="H9" s="266">
        <v>19.759999999999998</v>
      </c>
      <c r="I9" s="260">
        <v>700</v>
      </c>
      <c r="J9" s="87">
        <f t="shared" si="1"/>
        <v>2533.7600000000002</v>
      </c>
      <c r="K9" s="266">
        <v>680</v>
      </c>
      <c r="L9" s="266">
        <v>6.7600000000000007</v>
      </c>
      <c r="M9" s="260">
        <v>200</v>
      </c>
      <c r="N9" s="87">
        <f t="shared" si="2"/>
        <v>886.76</v>
      </c>
      <c r="O9" s="266">
        <v>624.4</v>
      </c>
      <c r="P9" s="266">
        <v>25.480000000000004</v>
      </c>
      <c r="Q9" s="260">
        <v>200</v>
      </c>
      <c r="R9" s="87">
        <f t="shared" si="3"/>
        <v>849.88</v>
      </c>
      <c r="S9" s="259"/>
      <c r="T9" s="266">
        <v>15.600000000000001</v>
      </c>
      <c r="U9" s="260">
        <v>1110</v>
      </c>
      <c r="V9" s="87">
        <f t="shared" si="4"/>
        <v>1125.5999999999999</v>
      </c>
      <c r="W9" s="266">
        <v>8</v>
      </c>
      <c r="X9" s="266">
        <v>15.600000000000001</v>
      </c>
      <c r="Y9" s="260">
        <v>3</v>
      </c>
      <c r="Z9" s="87">
        <f t="shared" si="5"/>
        <v>26.6</v>
      </c>
      <c r="AA9" s="94">
        <f t="shared" ref="AA9:AA38" si="12">(F9+J9+N9+R9+V9+Z9)</f>
        <v>5695.4000000000015</v>
      </c>
      <c r="AB9" s="96" t="s">
        <v>53</v>
      </c>
      <c r="AC9" s="138"/>
      <c r="AD9" s="146">
        <v>2</v>
      </c>
      <c r="AE9" s="147" t="s">
        <v>5</v>
      </c>
      <c r="AF9" s="141">
        <f t="shared" si="6"/>
        <v>3326.4</v>
      </c>
      <c r="AG9" s="141">
        <f t="shared" si="6"/>
        <v>104</v>
      </c>
      <c r="AH9" s="141">
        <f t="shared" si="7"/>
        <v>2265</v>
      </c>
      <c r="AI9" s="108"/>
      <c r="AJ9" s="148">
        <v>2</v>
      </c>
      <c r="AK9" s="149" t="s">
        <v>5</v>
      </c>
      <c r="AL9" s="144">
        <f t="shared" si="8"/>
        <v>3326.4</v>
      </c>
      <c r="AM9" s="145">
        <f t="shared" si="9"/>
        <v>0.58405028619587729</v>
      </c>
      <c r="AN9" s="144">
        <f t="shared" ref="AN9:AN38" si="13">AG9</f>
        <v>104</v>
      </c>
      <c r="AO9" s="145">
        <f t="shared" si="10"/>
        <v>1.826035045826456E-2</v>
      </c>
      <c r="AP9" s="144">
        <f t="shared" ref="AP9:AP38" si="14">AH9</f>
        <v>2265</v>
      </c>
      <c r="AQ9" s="145">
        <f t="shared" si="11"/>
        <v>0.39768936334585797</v>
      </c>
    </row>
    <row r="10" spans="1:43" x14ac:dyDescent="0.25">
      <c r="A10" s="156">
        <v>3</v>
      </c>
      <c r="B10" s="157" t="s">
        <v>6</v>
      </c>
      <c r="C10" s="266">
        <v>188</v>
      </c>
      <c r="D10" s="266">
        <v>10.4</v>
      </c>
      <c r="E10" s="260">
        <v>100</v>
      </c>
      <c r="F10" s="87">
        <f t="shared" si="0"/>
        <v>298.39999999999998</v>
      </c>
      <c r="G10" s="266">
        <v>615.6</v>
      </c>
      <c r="H10" s="266">
        <v>21.840000000000003</v>
      </c>
      <c r="I10" s="260">
        <v>500</v>
      </c>
      <c r="J10" s="87">
        <f t="shared" si="1"/>
        <v>1137.44</v>
      </c>
      <c r="K10" s="266">
        <v>400</v>
      </c>
      <c r="L10" s="266">
        <v>4.6800000000000006</v>
      </c>
      <c r="M10" s="260">
        <v>100</v>
      </c>
      <c r="N10" s="87">
        <f t="shared" si="2"/>
        <v>504.68</v>
      </c>
      <c r="O10" s="266">
        <v>822.8</v>
      </c>
      <c r="P10" s="266">
        <v>22.36</v>
      </c>
      <c r="Q10" s="260">
        <v>300</v>
      </c>
      <c r="R10" s="87">
        <f t="shared" si="3"/>
        <v>1145.1599999999999</v>
      </c>
      <c r="S10" s="266">
        <v>888</v>
      </c>
      <c r="T10" s="266">
        <v>15.600000000000001</v>
      </c>
      <c r="U10" s="260">
        <v>500</v>
      </c>
      <c r="V10" s="87">
        <f t="shared" si="4"/>
        <v>1403.6</v>
      </c>
      <c r="W10" s="266">
        <v>200</v>
      </c>
      <c r="X10" s="266">
        <v>10.4</v>
      </c>
      <c r="Y10" s="260">
        <v>55</v>
      </c>
      <c r="Z10" s="87">
        <f t="shared" si="5"/>
        <v>265.39999999999998</v>
      </c>
      <c r="AA10" s="94">
        <f t="shared" si="12"/>
        <v>4754.68</v>
      </c>
      <c r="AB10" s="96" t="s">
        <v>53</v>
      </c>
      <c r="AC10" s="138"/>
      <c r="AD10" s="146">
        <v>3</v>
      </c>
      <c r="AE10" s="147" t="s">
        <v>6</v>
      </c>
      <c r="AF10" s="141">
        <f t="shared" si="6"/>
        <v>3114.3999999999996</v>
      </c>
      <c r="AG10" s="141">
        <f t="shared" si="6"/>
        <v>85.28</v>
      </c>
      <c r="AH10" s="141">
        <f t="shared" si="7"/>
        <v>1555</v>
      </c>
      <c r="AI10" s="108"/>
      <c r="AJ10" s="148">
        <v>3</v>
      </c>
      <c r="AK10" s="149" t="s">
        <v>6</v>
      </c>
      <c r="AL10" s="144">
        <f t="shared" si="8"/>
        <v>3114.3999999999996</v>
      </c>
      <c r="AM10" s="145">
        <f t="shared" si="9"/>
        <v>0.65501779299553275</v>
      </c>
      <c r="AN10" s="144">
        <f t="shared" si="13"/>
        <v>85.28</v>
      </c>
      <c r="AO10" s="145">
        <f t="shared" si="10"/>
        <v>1.7936012518192601E-2</v>
      </c>
      <c r="AP10" s="144">
        <f t="shared" si="14"/>
        <v>1555</v>
      </c>
      <c r="AQ10" s="145">
        <f t="shared" si="11"/>
        <v>0.32704619448627453</v>
      </c>
    </row>
    <row r="11" spans="1:43" x14ac:dyDescent="0.25">
      <c r="A11" s="156">
        <v>4</v>
      </c>
      <c r="B11" s="157" t="s">
        <v>7</v>
      </c>
      <c r="C11" s="266">
        <v>400</v>
      </c>
      <c r="D11" s="266">
        <v>29.64</v>
      </c>
      <c r="E11" s="260">
        <v>136</v>
      </c>
      <c r="F11" s="87">
        <f t="shared" si="0"/>
        <v>565.64</v>
      </c>
      <c r="G11" s="266">
        <v>1416.4</v>
      </c>
      <c r="H11" s="266">
        <v>26</v>
      </c>
      <c r="I11" s="260">
        <v>700</v>
      </c>
      <c r="J11" s="87">
        <f t="shared" si="1"/>
        <v>2142.4</v>
      </c>
      <c r="K11" s="266">
        <v>14</v>
      </c>
      <c r="L11" s="266">
        <v>16.64</v>
      </c>
      <c r="M11" s="260"/>
      <c r="N11" s="87">
        <f t="shared" si="2"/>
        <v>30.64</v>
      </c>
      <c r="O11" s="266">
        <v>819.6</v>
      </c>
      <c r="P11" s="266">
        <v>27.56</v>
      </c>
      <c r="Q11" s="260">
        <v>500</v>
      </c>
      <c r="R11" s="87">
        <f t="shared" si="3"/>
        <v>1347.1599999999999</v>
      </c>
      <c r="S11" s="266">
        <v>1880</v>
      </c>
      <c r="T11" s="266">
        <v>10.4</v>
      </c>
      <c r="U11" s="260">
        <v>800</v>
      </c>
      <c r="V11" s="87">
        <f t="shared" si="4"/>
        <v>2690.4</v>
      </c>
      <c r="W11" s="266">
        <v>200</v>
      </c>
      <c r="X11" s="266">
        <v>15.600000000000001</v>
      </c>
      <c r="Y11" s="260">
        <v>55</v>
      </c>
      <c r="Z11" s="87">
        <f t="shared" si="5"/>
        <v>270.60000000000002</v>
      </c>
      <c r="AA11" s="94">
        <f t="shared" si="12"/>
        <v>7046.84</v>
      </c>
      <c r="AB11" s="96" t="s">
        <v>53</v>
      </c>
      <c r="AC11" s="138"/>
      <c r="AD11" s="146">
        <v>4</v>
      </c>
      <c r="AE11" s="147" t="s">
        <v>7</v>
      </c>
      <c r="AF11" s="141">
        <f t="shared" si="6"/>
        <v>4730</v>
      </c>
      <c r="AG11" s="141">
        <f t="shared" si="6"/>
        <v>125.84</v>
      </c>
      <c r="AH11" s="141">
        <f t="shared" si="7"/>
        <v>2191</v>
      </c>
      <c r="AI11" s="108"/>
      <c r="AJ11" s="148">
        <v>4</v>
      </c>
      <c r="AK11" s="149" t="s">
        <v>7</v>
      </c>
      <c r="AL11" s="144">
        <f t="shared" si="8"/>
        <v>4730</v>
      </c>
      <c r="AM11" s="145">
        <f t="shared" si="9"/>
        <v>0.67122284598486692</v>
      </c>
      <c r="AN11" s="144">
        <f t="shared" si="13"/>
        <v>125.84</v>
      </c>
      <c r="AO11" s="145">
        <f t="shared" si="10"/>
        <v>1.7857649669922971E-2</v>
      </c>
      <c r="AP11" s="144">
        <f t="shared" si="14"/>
        <v>2191</v>
      </c>
      <c r="AQ11" s="145">
        <f t="shared" si="11"/>
        <v>0.31091950434521004</v>
      </c>
    </row>
    <row r="12" spans="1:43" x14ac:dyDescent="0.25">
      <c r="A12" s="156">
        <v>5</v>
      </c>
      <c r="B12" s="157" t="s">
        <v>8</v>
      </c>
      <c r="C12" s="266">
        <v>100</v>
      </c>
      <c r="D12" s="266">
        <v>26.52</v>
      </c>
      <c r="E12" s="260">
        <v>100</v>
      </c>
      <c r="F12" s="87">
        <f t="shared" si="0"/>
        <v>226.51999999999998</v>
      </c>
      <c r="G12" s="266">
        <v>212.8</v>
      </c>
      <c r="H12" s="266">
        <v>21.32</v>
      </c>
      <c r="I12" s="260">
        <v>200</v>
      </c>
      <c r="J12" s="87">
        <f t="shared" si="1"/>
        <v>434.12</v>
      </c>
      <c r="K12" s="266">
        <v>400</v>
      </c>
      <c r="L12" s="266">
        <v>10.920000000000002</v>
      </c>
      <c r="M12" s="260">
        <v>100</v>
      </c>
      <c r="N12" s="87">
        <f t="shared" si="2"/>
        <v>510.92</v>
      </c>
      <c r="O12" s="266">
        <v>426</v>
      </c>
      <c r="P12" s="266">
        <v>31.72</v>
      </c>
      <c r="Q12" s="260">
        <v>200</v>
      </c>
      <c r="R12" s="87">
        <f t="shared" si="3"/>
        <v>657.72</v>
      </c>
      <c r="S12" s="266">
        <v>44</v>
      </c>
      <c r="T12" s="266">
        <v>10.4</v>
      </c>
      <c r="U12" s="260">
        <v>11</v>
      </c>
      <c r="V12" s="87">
        <f t="shared" si="4"/>
        <v>65.400000000000006</v>
      </c>
      <c r="W12" s="266">
        <v>200</v>
      </c>
      <c r="X12" s="266">
        <v>10.4</v>
      </c>
      <c r="Y12" s="260">
        <v>50</v>
      </c>
      <c r="Z12" s="87">
        <f t="shared" si="5"/>
        <v>260.39999999999998</v>
      </c>
      <c r="AA12" s="94">
        <f t="shared" si="12"/>
        <v>2155.08</v>
      </c>
      <c r="AB12" s="96" t="s">
        <v>53</v>
      </c>
      <c r="AC12" s="138"/>
      <c r="AD12" s="146">
        <v>5</v>
      </c>
      <c r="AE12" s="147" t="s">
        <v>8</v>
      </c>
      <c r="AF12" s="141">
        <f t="shared" si="6"/>
        <v>1382.8</v>
      </c>
      <c r="AG12" s="141">
        <f t="shared" si="6"/>
        <v>111.28000000000002</v>
      </c>
      <c r="AH12" s="141">
        <f t="shared" si="7"/>
        <v>661</v>
      </c>
      <c r="AI12" s="108"/>
      <c r="AJ12" s="148">
        <v>5</v>
      </c>
      <c r="AK12" s="149" t="s">
        <v>8</v>
      </c>
      <c r="AL12" s="144">
        <f t="shared" si="8"/>
        <v>1382.8</v>
      </c>
      <c r="AM12" s="145">
        <f t="shared" si="9"/>
        <v>0.64164671381108818</v>
      </c>
      <c r="AN12" s="144">
        <f t="shared" si="13"/>
        <v>111.28000000000002</v>
      </c>
      <c r="AO12" s="145">
        <f t="shared" si="10"/>
        <v>5.1636134157432678E-2</v>
      </c>
      <c r="AP12" s="144">
        <f t="shared" si="14"/>
        <v>661</v>
      </c>
      <c r="AQ12" s="145">
        <f t="shared" si="11"/>
        <v>0.30671715203147915</v>
      </c>
    </row>
    <row r="13" spans="1:43" x14ac:dyDescent="0.25">
      <c r="A13" s="156">
        <v>6</v>
      </c>
      <c r="B13" s="157" t="s">
        <v>9</v>
      </c>
      <c r="C13" s="266">
        <v>324</v>
      </c>
      <c r="D13" s="266">
        <v>5.2</v>
      </c>
      <c r="E13" s="260">
        <v>100</v>
      </c>
      <c r="F13" s="87">
        <f t="shared" si="0"/>
        <v>429.2</v>
      </c>
      <c r="G13" s="266">
        <v>811.6</v>
      </c>
      <c r="H13" s="266">
        <v>11.959999999999999</v>
      </c>
      <c r="I13" s="260">
        <v>300</v>
      </c>
      <c r="J13" s="87">
        <f t="shared" si="1"/>
        <v>1123.56</v>
      </c>
      <c r="K13" s="266">
        <v>200</v>
      </c>
      <c r="L13" s="266">
        <v>20.8</v>
      </c>
      <c r="M13" s="260">
        <v>50</v>
      </c>
      <c r="N13" s="87">
        <f t="shared" si="2"/>
        <v>270.8</v>
      </c>
      <c r="O13" s="266">
        <v>740.4</v>
      </c>
      <c r="P13" s="266">
        <v>24.44</v>
      </c>
      <c r="Q13" s="260">
        <v>300</v>
      </c>
      <c r="R13" s="87">
        <f t="shared" si="3"/>
        <v>1064.8400000000001</v>
      </c>
      <c r="S13" s="266">
        <v>760</v>
      </c>
      <c r="T13" s="266">
        <v>5.2</v>
      </c>
      <c r="U13" s="260">
        <v>300</v>
      </c>
      <c r="V13" s="87">
        <f t="shared" si="4"/>
        <v>1065.2</v>
      </c>
      <c r="W13" s="266">
        <v>200</v>
      </c>
      <c r="X13" s="266">
        <v>15.600000000000001</v>
      </c>
      <c r="Y13" s="260">
        <v>50</v>
      </c>
      <c r="Z13" s="87">
        <f t="shared" si="5"/>
        <v>265.60000000000002</v>
      </c>
      <c r="AA13" s="94">
        <f t="shared" si="12"/>
        <v>4219.2000000000007</v>
      </c>
      <c r="AB13" s="96" t="s">
        <v>53</v>
      </c>
      <c r="AC13" s="138"/>
      <c r="AD13" s="146">
        <v>6</v>
      </c>
      <c r="AE13" s="147" t="s">
        <v>9</v>
      </c>
      <c r="AF13" s="141">
        <f t="shared" si="6"/>
        <v>3036</v>
      </c>
      <c r="AG13" s="141">
        <f t="shared" si="6"/>
        <v>83.200000000000017</v>
      </c>
      <c r="AH13" s="141">
        <f t="shared" si="7"/>
        <v>1100</v>
      </c>
      <c r="AI13" s="108"/>
      <c r="AJ13" s="148">
        <v>6</v>
      </c>
      <c r="AK13" s="149" t="s">
        <v>9</v>
      </c>
      <c r="AL13" s="144">
        <f t="shared" si="8"/>
        <v>3036</v>
      </c>
      <c r="AM13" s="145">
        <f t="shared" si="9"/>
        <v>0.71956769055745151</v>
      </c>
      <c r="AN13" s="144">
        <f t="shared" si="13"/>
        <v>83.200000000000017</v>
      </c>
      <c r="AO13" s="145">
        <f t="shared" si="10"/>
        <v>1.9719378081152827E-2</v>
      </c>
      <c r="AP13" s="144">
        <f t="shared" si="14"/>
        <v>1100</v>
      </c>
      <c r="AQ13" s="145">
        <f t="shared" si="11"/>
        <v>0.26071293136139551</v>
      </c>
    </row>
    <row r="14" spans="1:43" x14ac:dyDescent="0.25">
      <c r="A14" s="156">
        <v>7</v>
      </c>
      <c r="B14" s="157" t="s">
        <v>10</v>
      </c>
      <c r="C14" s="266">
        <v>400</v>
      </c>
      <c r="D14" s="266">
        <v>5.2</v>
      </c>
      <c r="E14" s="260">
        <v>100</v>
      </c>
      <c r="F14" s="87">
        <f t="shared" si="0"/>
        <v>505.2</v>
      </c>
      <c r="G14" s="266">
        <v>414.4</v>
      </c>
      <c r="H14" s="266">
        <v>4.6800000000000006</v>
      </c>
      <c r="I14" s="260">
        <v>100</v>
      </c>
      <c r="J14" s="87">
        <f t="shared" si="1"/>
        <v>519.07999999999993</v>
      </c>
      <c r="K14" s="266">
        <v>0</v>
      </c>
      <c r="L14" s="266">
        <v>7.2799999999999994</v>
      </c>
      <c r="M14" s="260"/>
      <c r="N14" s="87">
        <f t="shared" si="2"/>
        <v>7.2799999999999994</v>
      </c>
      <c r="O14" s="266">
        <v>425.2</v>
      </c>
      <c r="P14" s="266">
        <v>13</v>
      </c>
      <c r="Q14" s="260">
        <v>100</v>
      </c>
      <c r="R14" s="87">
        <f t="shared" si="3"/>
        <v>538.20000000000005</v>
      </c>
      <c r="S14" s="266">
        <v>40</v>
      </c>
      <c r="T14" s="266">
        <v>0</v>
      </c>
      <c r="U14" s="260">
        <v>40</v>
      </c>
      <c r="V14" s="87">
        <f t="shared" si="4"/>
        <v>80</v>
      </c>
      <c r="W14" s="266">
        <v>200</v>
      </c>
      <c r="X14" s="266">
        <v>0</v>
      </c>
      <c r="Y14" s="260">
        <v>50</v>
      </c>
      <c r="Z14" s="87">
        <f t="shared" si="5"/>
        <v>250</v>
      </c>
      <c r="AA14" s="94">
        <f t="shared" si="12"/>
        <v>1899.76</v>
      </c>
      <c r="AB14" s="96" t="s">
        <v>53</v>
      </c>
      <c r="AC14" s="138"/>
      <c r="AD14" s="146">
        <v>7</v>
      </c>
      <c r="AE14" s="147" t="s">
        <v>10</v>
      </c>
      <c r="AF14" s="141">
        <f t="shared" si="6"/>
        <v>1479.6</v>
      </c>
      <c r="AG14" s="141">
        <f t="shared" si="6"/>
        <v>30.16</v>
      </c>
      <c r="AH14" s="141">
        <f t="shared" si="7"/>
        <v>390</v>
      </c>
      <c r="AI14" s="108"/>
      <c r="AJ14" s="148">
        <v>7</v>
      </c>
      <c r="AK14" s="149" t="s">
        <v>10</v>
      </c>
      <c r="AL14" s="144">
        <f t="shared" si="8"/>
        <v>1479.6</v>
      </c>
      <c r="AM14" s="145">
        <f t="shared" si="9"/>
        <v>0.77883522129111038</v>
      </c>
      <c r="AN14" s="144">
        <f t="shared" si="13"/>
        <v>30.16</v>
      </c>
      <c r="AO14" s="145">
        <f t="shared" si="10"/>
        <v>1.5875689560786627E-2</v>
      </c>
      <c r="AP14" s="144">
        <f t="shared" si="14"/>
        <v>390</v>
      </c>
      <c r="AQ14" s="145">
        <f t="shared" si="11"/>
        <v>0.20528908914810293</v>
      </c>
    </row>
    <row r="15" spans="1:43" x14ac:dyDescent="0.25">
      <c r="A15" s="156">
        <v>8</v>
      </c>
      <c r="B15" s="157" t="s">
        <v>11</v>
      </c>
      <c r="C15" s="266">
        <v>0</v>
      </c>
      <c r="D15" s="266">
        <v>7.8000000000000007</v>
      </c>
      <c r="E15" s="260">
        <v>0</v>
      </c>
      <c r="F15" s="87">
        <f t="shared" si="0"/>
        <v>7.8000000000000007</v>
      </c>
      <c r="G15" s="266">
        <v>12.4</v>
      </c>
      <c r="H15" s="266">
        <v>15.600000000000001</v>
      </c>
      <c r="I15" s="260">
        <v>0</v>
      </c>
      <c r="J15" s="87">
        <f t="shared" si="1"/>
        <v>28</v>
      </c>
      <c r="K15" s="266">
        <v>0</v>
      </c>
      <c r="L15" s="266">
        <v>24.96</v>
      </c>
      <c r="M15" s="260"/>
      <c r="N15" s="87">
        <f t="shared" si="2"/>
        <v>24.96</v>
      </c>
      <c r="O15" s="266">
        <v>18.399999999999999</v>
      </c>
      <c r="P15" s="266">
        <v>17.16</v>
      </c>
      <c r="Q15" s="260">
        <v>0</v>
      </c>
      <c r="R15" s="87">
        <f t="shared" si="3"/>
        <v>35.56</v>
      </c>
      <c r="S15" s="266">
        <v>0</v>
      </c>
      <c r="T15" s="266">
        <v>0</v>
      </c>
      <c r="U15" s="260"/>
      <c r="V15" s="87">
        <f t="shared" si="4"/>
        <v>0</v>
      </c>
      <c r="W15" s="266">
        <v>200</v>
      </c>
      <c r="X15" s="266">
        <v>5.2</v>
      </c>
      <c r="Y15" s="260">
        <v>50</v>
      </c>
      <c r="Z15" s="87">
        <f t="shared" si="5"/>
        <v>255.2</v>
      </c>
      <c r="AA15" s="94">
        <f t="shared" si="12"/>
        <v>351.52</v>
      </c>
      <c r="AB15" s="96" t="s">
        <v>53</v>
      </c>
      <c r="AC15" s="138"/>
      <c r="AD15" s="146">
        <v>8</v>
      </c>
      <c r="AE15" s="147" t="s">
        <v>11</v>
      </c>
      <c r="AF15" s="141">
        <f t="shared" si="6"/>
        <v>230.8</v>
      </c>
      <c r="AG15" s="141">
        <f t="shared" si="6"/>
        <v>70.72</v>
      </c>
      <c r="AH15" s="141">
        <f t="shared" si="7"/>
        <v>50</v>
      </c>
      <c r="AI15" s="108"/>
      <c r="AJ15" s="148">
        <v>8</v>
      </c>
      <c r="AK15" s="149" t="s">
        <v>11</v>
      </c>
      <c r="AL15" s="144">
        <f t="shared" si="8"/>
        <v>230.8</v>
      </c>
      <c r="AM15" s="145">
        <f t="shared" si="9"/>
        <v>0.656577150659991</v>
      </c>
      <c r="AN15" s="144">
        <f t="shared" si="13"/>
        <v>70.72</v>
      </c>
      <c r="AO15" s="145">
        <f t="shared" si="10"/>
        <v>0.20118343195266272</v>
      </c>
      <c r="AP15" s="144">
        <f t="shared" si="14"/>
        <v>50</v>
      </c>
      <c r="AQ15" s="145">
        <f t="shared" si="11"/>
        <v>0.14223941738734638</v>
      </c>
    </row>
    <row r="16" spans="1:43" x14ac:dyDescent="0.25">
      <c r="A16" s="156">
        <v>9</v>
      </c>
      <c r="B16" s="157" t="s">
        <v>12</v>
      </c>
      <c r="C16" s="266">
        <v>360</v>
      </c>
      <c r="D16" s="266">
        <v>10.4</v>
      </c>
      <c r="E16" s="260">
        <v>200</v>
      </c>
      <c r="F16" s="87">
        <f t="shared" si="0"/>
        <v>570.4</v>
      </c>
      <c r="G16" s="266">
        <v>1011.6</v>
      </c>
      <c r="H16" s="266">
        <v>16.12</v>
      </c>
      <c r="I16" s="260">
        <v>500</v>
      </c>
      <c r="J16" s="87">
        <f t="shared" si="1"/>
        <v>1527.72</v>
      </c>
      <c r="K16" s="266">
        <v>412.4</v>
      </c>
      <c r="L16" s="266">
        <v>4.6800000000000006</v>
      </c>
      <c r="M16" s="260">
        <v>100</v>
      </c>
      <c r="N16" s="87">
        <f t="shared" si="2"/>
        <v>517.07999999999993</v>
      </c>
      <c r="O16" s="266">
        <v>495.6</v>
      </c>
      <c r="P16" s="266">
        <v>30.680000000000003</v>
      </c>
      <c r="Q16" s="260">
        <v>300</v>
      </c>
      <c r="R16" s="87">
        <f t="shared" si="3"/>
        <v>826.28</v>
      </c>
      <c r="S16" s="266">
        <v>1080</v>
      </c>
      <c r="T16" s="266">
        <v>5.2</v>
      </c>
      <c r="U16" s="260">
        <v>500</v>
      </c>
      <c r="V16" s="87">
        <f t="shared" si="4"/>
        <v>1585.2</v>
      </c>
      <c r="W16" s="266">
        <v>200</v>
      </c>
      <c r="X16" s="266">
        <v>5.2</v>
      </c>
      <c r="Y16" s="260">
        <v>50</v>
      </c>
      <c r="Z16" s="87">
        <f t="shared" si="5"/>
        <v>255.2</v>
      </c>
      <c r="AA16" s="94">
        <f t="shared" si="12"/>
        <v>5281.8799999999992</v>
      </c>
      <c r="AB16" s="96" t="s">
        <v>53</v>
      </c>
      <c r="AC16" s="138"/>
      <c r="AD16" s="146">
        <v>9</v>
      </c>
      <c r="AE16" s="147" t="s">
        <v>12</v>
      </c>
      <c r="AF16" s="141">
        <f t="shared" si="6"/>
        <v>3559.6</v>
      </c>
      <c r="AG16" s="141">
        <f t="shared" si="6"/>
        <v>72.280000000000015</v>
      </c>
      <c r="AH16" s="141">
        <f t="shared" si="7"/>
        <v>1650</v>
      </c>
      <c r="AI16" s="108"/>
      <c r="AJ16" s="148">
        <v>9</v>
      </c>
      <c r="AK16" s="149" t="s">
        <v>12</v>
      </c>
      <c r="AL16" s="144">
        <f t="shared" si="8"/>
        <v>3559.6</v>
      </c>
      <c r="AM16" s="145">
        <f t="shared" si="9"/>
        <v>0.67392670791460629</v>
      </c>
      <c r="AN16" s="144">
        <f t="shared" si="13"/>
        <v>72.280000000000015</v>
      </c>
      <c r="AO16" s="145">
        <f t="shared" si="10"/>
        <v>1.3684521420403346E-2</v>
      </c>
      <c r="AP16" s="144">
        <f t="shared" si="14"/>
        <v>1650</v>
      </c>
      <c r="AQ16" s="145">
        <f t="shared" si="11"/>
        <v>0.31238877066499054</v>
      </c>
    </row>
    <row r="17" spans="1:43" x14ac:dyDescent="0.25">
      <c r="A17" s="156">
        <v>10</v>
      </c>
      <c r="B17" s="157" t="s">
        <v>13</v>
      </c>
      <c r="C17" s="266">
        <v>400</v>
      </c>
      <c r="D17" s="266">
        <v>5.2</v>
      </c>
      <c r="E17" s="260">
        <v>135</v>
      </c>
      <c r="F17" s="87">
        <f t="shared" si="0"/>
        <v>540.20000000000005</v>
      </c>
      <c r="G17" s="266">
        <v>1010.8</v>
      </c>
      <c r="H17" s="266">
        <v>10.4</v>
      </c>
      <c r="I17" s="260">
        <v>500</v>
      </c>
      <c r="J17" s="87">
        <f t="shared" si="1"/>
        <v>1521.1999999999998</v>
      </c>
      <c r="K17" s="266">
        <v>200</v>
      </c>
      <c r="L17" s="266">
        <v>5.2</v>
      </c>
      <c r="M17" s="260">
        <v>50</v>
      </c>
      <c r="N17" s="87">
        <f t="shared" si="2"/>
        <v>255.2</v>
      </c>
      <c r="O17" s="266">
        <v>539.6</v>
      </c>
      <c r="P17" s="266">
        <v>18.2</v>
      </c>
      <c r="Q17" s="260">
        <v>500</v>
      </c>
      <c r="R17" s="87">
        <f t="shared" si="3"/>
        <v>1057.8000000000002</v>
      </c>
      <c r="S17" s="266">
        <v>924</v>
      </c>
      <c r="T17" s="266">
        <v>5.2</v>
      </c>
      <c r="U17" s="260">
        <v>500</v>
      </c>
      <c r="V17" s="87">
        <f t="shared" si="4"/>
        <v>1429.2</v>
      </c>
      <c r="W17" s="266">
        <v>200</v>
      </c>
      <c r="X17" s="266">
        <v>5.2</v>
      </c>
      <c r="Y17" s="260">
        <v>50</v>
      </c>
      <c r="Z17" s="87">
        <f t="shared" si="5"/>
        <v>255.2</v>
      </c>
      <c r="AA17" s="94">
        <f t="shared" si="12"/>
        <v>5058.7999999999993</v>
      </c>
      <c r="AB17" s="96" t="s">
        <v>53</v>
      </c>
      <c r="AC17" s="138"/>
      <c r="AD17" s="146">
        <v>10</v>
      </c>
      <c r="AE17" s="147" t="s">
        <v>13</v>
      </c>
      <c r="AF17" s="141">
        <f>(C17+G17+K17+O17+S17+W17)</f>
        <v>3274.4</v>
      </c>
      <c r="AG17" s="141">
        <f>(D17+H17+L17+P17+T17+X17)</f>
        <v>49.400000000000006</v>
      </c>
      <c r="AH17" s="141">
        <f>(E17+I17+M17+Q17++U17+Y17)</f>
        <v>1735</v>
      </c>
      <c r="AI17" s="108"/>
      <c r="AJ17" s="148">
        <v>10</v>
      </c>
      <c r="AK17" s="149" t="s">
        <v>13</v>
      </c>
      <c r="AL17" s="144">
        <f t="shared" si="8"/>
        <v>3274.4</v>
      </c>
      <c r="AM17" s="145">
        <f t="shared" si="9"/>
        <v>0.64726812682849699</v>
      </c>
      <c r="AN17" s="144">
        <f t="shared" si="13"/>
        <v>49.400000000000006</v>
      </c>
      <c r="AO17" s="145">
        <f t="shared" si="10"/>
        <v>9.7651616984265072E-3</v>
      </c>
      <c r="AP17" s="144">
        <f t="shared" si="14"/>
        <v>1735</v>
      </c>
      <c r="AQ17" s="145">
        <f t="shared" si="11"/>
        <v>0.34296671147307667</v>
      </c>
    </row>
    <row r="18" spans="1:43" x14ac:dyDescent="0.25">
      <c r="A18" s="156">
        <v>11</v>
      </c>
      <c r="B18" s="157" t="s">
        <v>14</v>
      </c>
      <c r="C18" s="266">
        <v>280</v>
      </c>
      <c r="D18" s="266">
        <v>24.96</v>
      </c>
      <c r="E18" s="260">
        <v>100</v>
      </c>
      <c r="F18" s="87">
        <f t="shared" si="0"/>
        <v>404.96</v>
      </c>
      <c r="G18" s="266">
        <v>1012.4</v>
      </c>
      <c r="H18" s="266">
        <v>13</v>
      </c>
      <c r="I18" s="260">
        <v>500</v>
      </c>
      <c r="J18" s="87">
        <f t="shared" si="1"/>
        <v>1525.4</v>
      </c>
      <c r="K18" s="266">
        <v>200</v>
      </c>
      <c r="L18" s="266">
        <v>6.7600000000000007</v>
      </c>
      <c r="M18" s="260">
        <v>50</v>
      </c>
      <c r="N18" s="87">
        <f t="shared" si="2"/>
        <v>256.76</v>
      </c>
      <c r="O18" s="266">
        <v>820.4</v>
      </c>
      <c r="P18" s="266">
        <v>14.040000000000001</v>
      </c>
      <c r="Q18" s="260">
        <v>300</v>
      </c>
      <c r="R18" s="87">
        <f t="shared" si="3"/>
        <v>1134.44</v>
      </c>
      <c r="S18" s="266">
        <v>1000</v>
      </c>
      <c r="T18" s="266">
        <v>5.2</v>
      </c>
      <c r="U18" s="260">
        <v>500</v>
      </c>
      <c r="V18" s="87">
        <f t="shared" si="4"/>
        <v>1505.2</v>
      </c>
      <c r="W18" s="266">
        <v>200</v>
      </c>
      <c r="X18" s="266">
        <v>10.4</v>
      </c>
      <c r="Y18" s="260">
        <v>55</v>
      </c>
      <c r="Z18" s="87">
        <f t="shared" si="5"/>
        <v>265.39999999999998</v>
      </c>
      <c r="AA18" s="94">
        <f t="shared" si="12"/>
        <v>5092.16</v>
      </c>
      <c r="AB18" s="96" t="s">
        <v>53</v>
      </c>
      <c r="AC18" s="138"/>
      <c r="AD18" s="146">
        <v>11</v>
      </c>
      <c r="AE18" s="147" t="s">
        <v>14</v>
      </c>
      <c r="AF18" s="141">
        <f t="shared" ref="AF18:AG38" si="15">(C18+G18+K18+O18+S18+W18)</f>
        <v>3512.8</v>
      </c>
      <c r="AG18" s="141">
        <f t="shared" si="15"/>
        <v>74.36</v>
      </c>
      <c r="AH18" s="141">
        <f t="shared" ref="AH18:AH38" si="16">(E18+I18+M18+Q18++U18+Y18)</f>
        <v>1505</v>
      </c>
      <c r="AI18" s="108"/>
      <c r="AJ18" s="148">
        <v>11</v>
      </c>
      <c r="AK18" s="149" t="s">
        <v>14</v>
      </c>
      <c r="AL18" s="144">
        <f t="shared" si="8"/>
        <v>3512.8</v>
      </c>
      <c r="AM18" s="145">
        <f t="shared" si="9"/>
        <v>0.68984478099666946</v>
      </c>
      <c r="AN18" s="144">
        <f t="shared" si="13"/>
        <v>74.36</v>
      </c>
      <c r="AO18" s="145">
        <f t="shared" si="10"/>
        <v>1.4602840444919248E-2</v>
      </c>
      <c r="AP18" s="144">
        <f t="shared" si="14"/>
        <v>1505</v>
      </c>
      <c r="AQ18" s="145">
        <f t="shared" si="11"/>
        <v>0.29555237855841138</v>
      </c>
    </row>
    <row r="19" spans="1:43" x14ac:dyDescent="0.25">
      <c r="A19" s="156">
        <v>12</v>
      </c>
      <c r="B19" s="157" t="s">
        <v>15</v>
      </c>
      <c r="C19" s="266">
        <v>320</v>
      </c>
      <c r="D19" s="266">
        <v>10.4</v>
      </c>
      <c r="E19" s="260">
        <v>100</v>
      </c>
      <c r="F19" s="87">
        <f t="shared" si="0"/>
        <v>430.4</v>
      </c>
      <c r="G19" s="266">
        <v>531.20000000000005</v>
      </c>
      <c r="H19" s="266">
        <v>41.080000000000005</v>
      </c>
      <c r="I19" s="260">
        <v>600</v>
      </c>
      <c r="J19" s="87">
        <f t="shared" si="1"/>
        <v>1172.2800000000002</v>
      </c>
      <c r="K19" s="266">
        <v>400</v>
      </c>
      <c r="L19" s="266">
        <v>8.84</v>
      </c>
      <c r="M19" s="260">
        <v>100</v>
      </c>
      <c r="N19" s="87">
        <f t="shared" si="2"/>
        <v>508.84</v>
      </c>
      <c r="O19" s="266">
        <v>624.79999999999995</v>
      </c>
      <c r="P19" s="266">
        <v>15.08</v>
      </c>
      <c r="Q19" s="260">
        <v>500</v>
      </c>
      <c r="R19" s="87">
        <f t="shared" si="3"/>
        <v>1139.8800000000001</v>
      </c>
      <c r="S19" s="266">
        <v>808</v>
      </c>
      <c r="T19" s="266">
        <v>5.2</v>
      </c>
      <c r="U19" s="260">
        <v>500</v>
      </c>
      <c r="V19" s="87">
        <f t="shared" si="4"/>
        <v>1313.2</v>
      </c>
      <c r="W19" s="266">
        <v>200</v>
      </c>
      <c r="X19" s="266">
        <v>5.2</v>
      </c>
      <c r="Y19" s="260">
        <v>50</v>
      </c>
      <c r="Z19" s="87">
        <f t="shared" si="5"/>
        <v>255.2</v>
      </c>
      <c r="AA19" s="94">
        <f t="shared" si="12"/>
        <v>4819.8</v>
      </c>
      <c r="AB19" s="96" t="s">
        <v>53</v>
      </c>
      <c r="AC19" s="138"/>
      <c r="AD19" s="146">
        <v>12</v>
      </c>
      <c r="AE19" s="147" t="s">
        <v>15</v>
      </c>
      <c r="AF19" s="141">
        <f t="shared" si="15"/>
        <v>2884</v>
      </c>
      <c r="AG19" s="141">
        <f t="shared" si="15"/>
        <v>85.800000000000011</v>
      </c>
      <c r="AH19" s="141">
        <f t="shared" si="16"/>
        <v>1850</v>
      </c>
      <c r="AI19" s="108"/>
      <c r="AJ19" s="148">
        <v>12</v>
      </c>
      <c r="AK19" s="149" t="s">
        <v>15</v>
      </c>
      <c r="AL19" s="144">
        <f t="shared" si="8"/>
        <v>2884</v>
      </c>
      <c r="AM19" s="145">
        <f t="shared" si="9"/>
        <v>0.59836507738910327</v>
      </c>
      <c r="AN19" s="144">
        <f t="shared" si="13"/>
        <v>85.800000000000011</v>
      </c>
      <c r="AO19" s="145">
        <f t="shared" si="10"/>
        <v>1.7801568529814515E-2</v>
      </c>
      <c r="AP19" s="144">
        <f t="shared" si="14"/>
        <v>1850</v>
      </c>
      <c r="AQ19" s="145">
        <f t="shared" si="11"/>
        <v>0.38383335408108221</v>
      </c>
    </row>
    <row r="20" spans="1:43" x14ac:dyDescent="0.25">
      <c r="A20" s="156">
        <v>13</v>
      </c>
      <c r="B20" s="157" t="s">
        <v>16</v>
      </c>
      <c r="C20" s="266">
        <v>192</v>
      </c>
      <c r="D20" s="266">
        <v>5.2</v>
      </c>
      <c r="E20" s="260">
        <v>100</v>
      </c>
      <c r="F20" s="87">
        <f t="shared" si="0"/>
        <v>297.2</v>
      </c>
      <c r="G20" s="266">
        <v>1215.2</v>
      </c>
      <c r="H20" s="266">
        <v>12.48</v>
      </c>
      <c r="I20" s="260">
        <v>800</v>
      </c>
      <c r="J20" s="87">
        <f t="shared" si="1"/>
        <v>2027.68</v>
      </c>
      <c r="K20" s="266">
        <v>200</v>
      </c>
      <c r="L20" s="266">
        <v>21.840000000000003</v>
      </c>
      <c r="M20" s="260">
        <v>50</v>
      </c>
      <c r="N20" s="87">
        <f t="shared" si="2"/>
        <v>271.84000000000003</v>
      </c>
      <c r="O20" s="266">
        <v>1418.8</v>
      </c>
      <c r="P20" s="266">
        <v>24.96</v>
      </c>
      <c r="Q20" s="260">
        <v>500</v>
      </c>
      <c r="R20" s="87">
        <f t="shared" si="3"/>
        <v>1943.76</v>
      </c>
      <c r="S20" s="266">
        <v>1660</v>
      </c>
      <c r="T20" s="266">
        <v>5.2</v>
      </c>
      <c r="U20" s="260">
        <v>1000</v>
      </c>
      <c r="V20" s="87">
        <f t="shared" si="4"/>
        <v>2665.2</v>
      </c>
      <c r="W20" s="266">
        <v>200</v>
      </c>
      <c r="X20" s="266">
        <v>10.4</v>
      </c>
      <c r="Y20" s="260">
        <v>60</v>
      </c>
      <c r="Z20" s="87">
        <f t="shared" si="5"/>
        <v>270.39999999999998</v>
      </c>
      <c r="AA20" s="94">
        <f t="shared" si="12"/>
        <v>7476.08</v>
      </c>
      <c r="AB20" s="96" t="s">
        <v>53</v>
      </c>
      <c r="AC20" s="138"/>
      <c r="AD20" s="146">
        <v>13</v>
      </c>
      <c r="AE20" s="147" t="s">
        <v>16</v>
      </c>
      <c r="AF20" s="141">
        <f t="shared" si="15"/>
        <v>4886</v>
      </c>
      <c r="AG20" s="141">
        <f t="shared" si="15"/>
        <v>80.080000000000013</v>
      </c>
      <c r="AH20" s="141">
        <f t="shared" si="16"/>
        <v>2510</v>
      </c>
      <c r="AI20" s="108"/>
      <c r="AJ20" s="148">
        <v>13</v>
      </c>
      <c r="AK20" s="149" t="s">
        <v>16</v>
      </c>
      <c r="AL20" s="144">
        <f t="shared" si="8"/>
        <v>4886</v>
      </c>
      <c r="AM20" s="145">
        <f t="shared" si="9"/>
        <v>0.65355105884367204</v>
      </c>
      <c r="AN20" s="144">
        <f t="shared" si="13"/>
        <v>80.080000000000013</v>
      </c>
      <c r="AO20" s="145">
        <f t="shared" si="10"/>
        <v>1.0711495864142707E-2</v>
      </c>
      <c r="AP20" s="144">
        <f t="shared" si="14"/>
        <v>2510</v>
      </c>
      <c r="AQ20" s="145">
        <f t="shared" si="11"/>
        <v>0.33573744529218519</v>
      </c>
    </row>
    <row r="21" spans="1:43" x14ac:dyDescent="0.25">
      <c r="A21" s="156">
        <v>14</v>
      </c>
      <c r="B21" s="157" t="s">
        <v>17</v>
      </c>
      <c r="C21" s="266">
        <v>0</v>
      </c>
      <c r="D21" s="266">
        <v>10.4</v>
      </c>
      <c r="E21" s="260">
        <v>0</v>
      </c>
      <c r="F21" s="87">
        <f t="shared" si="0"/>
        <v>10.4</v>
      </c>
      <c r="G21" s="266">
        <v>8.4</v>
      </c>
      <c r="H21" s="266">
        <v>5.7200000000000006</v>
      </c>
      <c r="I21" s="260">
        <v>0</v>
      </c>
      <c r="J21" s="87">
        <f t="shared" si="1"/>
        <v>14.120000000000001</v>
      </c>
      <c r="K21" s="266">
        <v>0</v>
      </c>
      <c r="L21" s="266">
        <v>14.040000000000001</v>
      </c>
      <c r="M21" s="260"/>
      <c r="N21" s="87">
        <f t="shared" si="2"/>
        <v>14.040000000000001</v>
      </c>
      <c r="O21" s="266">
        <v>15.6</v>
      </c>
      <c r="P21" s="266">
        <v>14.040000000000001</v>
      </c>
      <c r="Q21" s="260">
        <v>0</v>
      </c>
      <c r="R21" s="87">
        <f t="shared" si="3"/>
        <v>29.64</v>
      </c>
      <c r="S21" s="266">
        <v>0</v>
      </c>
      <c r="T21" s="266">
        <v>0</v>
      </c>
      <c r="U21" s="260"/>
      <c r="V21" s="87">
        <f t="shared" si="4"/>
        <v>0</v>
      </c>
      <c r="W21" s="266">
        <v>200</v>
      </c>
      <c r="X21" s="266">
        <v>0</v>
      </c>
      <c r="Y21" s="260">
        <v>50</v>
      </c>
      <c r="Z21" s="87">
        <f t="shared" si="5"/>
        <v>250</v>
      </c>
      <c r="AA21" s="94">
        <f t="shared" si="12"/>
        <v>318.2</v>
      </c>
      <c r="AB21" s="96" t="s">
        <v>53</v>
      </c>
      <c r="AC21" s="138"/>
      <c r="AD21" s="146">
        <v>14</v>
      </c>
      <c r="AE21" s="147" t="s">
        <v>17</v>
      </c>
      <c r="AF21" s="141">
        <f t="shared" si="15"/>
        <v>224</v>
      </c>
      <c r="AG21" s="141">
        <f t="shared" si="15"/>
        <v>44.2</v>
      </c>
      <c r="AH21" s="141">
        <f t="shared" si="16"/>
        <v>50</v>
      </c>
      <c r="AI21" s="108"/>
      <c r="AJ21" s="148">
        <v>14</v>
      </c>
      <c r="AK21" s="149" t="s">
        <v>17</v>
      </c>
      <c r="AL21" s="144">
        <f t="shared" si="8"/>
        <v>224</v>
      </c>
      <c r="AM21" s="145">
        <f t="shared" si="9"/>
        <v>0.70395977372721563</v>
      </c>
      <c r="AN21" s="144">
        <f t="shared" si="13"/>
        <v>44.2</v>
      </c>
      <c r="AO21" s="145">
        <f t="shared" si="10"/>
        <v>0.13890634820867381</v>
      </c>
      <c r="AP21" s="144">
        <f t="shared" si="14"/>
        <v>50</v>
      </c>
      <c r="AQ21" s="145">
        <f t="shared" si="11"/>
        <v>0.15713387806411064</v>
      </c>
    </row>
    <row r="22" spans="1:43" x14ac:dyDescent="0.25">
      <c r="A22" s="156">
        <v>15</v>
      </c>
      <c r="B22" s="157" t="s">
        <v>18</v>
      </c>
      <c r="C22" s="266">
        <v>40</v>
      </c>
      <c r="D22" s="266">
        <v>23.919999999999998</v>
      </c>
      <c r="E22" s="260">
        <v>15</v>
      </c>
      <c r="F22" s="87">
        <f t="shared" si="0"/>
        <v>78.92</v>
      </c>
      <c r="G22" s="266">
        <v>413.2</v>
      </c>
      <c r="H22" s="266">
        <v>5.2</v>
      </c>
      <c r="I22" s="260">
        <v>100</v>
      </c>
      <c r="J22" s="87">
        <f t="shared" si="1"/>
        <v>518.4</v>
      </c>
      <c r="K22" s="266">
        <v>11.6</v>
      </c>
      <c r="L22" s="266">
        <v>10.4</v>
      </c>
      <c r="M22" s="260"/>
      <c r="N22" s="87">
        <f t="shared" si="2"/>
        <v>22</v>
      </c>
      <c r="O22" s="266">
        <v>418.8</v>
      </c>
      <c r="P22" s="266">
        <v>7.2799999999999994</v>
      </c>
      <c r="Q22" s="260">
        <v>300</v>
      </c>
      <c r="R22" s="87">
        <f t="shared" si="3"/>
        <v>726.07999999999993</v>
      </c>
      <c r="S22" s="266">
        <v>600</v>
      </c>
      <c r="T22" s="266">
        <v>0</v>
      </c>
      <c r="U22" s="260">
        <v>500</v>
      </c>
      <c r="V22" s="87">
        <f t="shared" si="4"/>
        <v>1100</v>
      </c>
      <c r="W22" s="266">
        <v>200</v>
      </c>
      <c r="X22" s="266">
        <v>0</v>
      </c>
      <c r="Y22" s="260">
        <v>50</v>
      </c>
      <c r="Z22" s="87">
        <f t="shared" si="5"/>
        <v>250</v>
      </c>
      <c r="AA22" s="94">
        <f t="shared" si="12"/>
        <v>2695.3999999999996</v>
      </c>
      <c r="AB22" s="96" t="s">
        <v>53</v>
      </c>
      <c r="AC22" s="138"/>
      <c r="AD22" s="146">
        <v>15</v>
      </c>
      <c r="AE22" s="147" t="s">
        <v>18</v>
      </c>
      <c r="AF22" s="141">
        <f t="shared" si="15"/>
        <v>1683.6</v>
      </c>
      <c r="AG22" s="141">
        <f t="shared" si="15"/>
        <v>46.8</v>
      </c>
      <c r="AH22" s="141">
        <f t="shared" si="16"/>
        <v>965</v>
      </c>
      <c r="AI22" s="108"/>
      <c r="AJ22" s="148">
        <v>15</v>
      </c>
      <c r="AK22" s="149" t="s">
        <v>18</v>
      </c>
      <c r="AL22" s="144">
        <f t="shared" si="8"/>
        <v>1683.6</v>
      </c>
      <c r="AM22" s="145">
        <f t="shared" si="9"/>
        <v>0.62461972249016851</v>
      </c>
      <c r="AN22" s="144">
        <f t="shared" si="13"/>
        <v>46.8</v>
      </c>
      <c r="AO22" s="145">
        <f t="shared" si="10"/>
        <v>1.7362914595236329E-2</v>
      </c>
      <c r="AP22" s="144">
        <f t="shared" si="14"/>
        <v>965</v>
      </c>
      <c r="AQ22" s="145">
        <f t="shared" si="11"/>
        <v>0.35801736291459529</v>
      </c>
    </row>
    <row r="23" spans="1:43" x14ac:dyDescent="0.25">
      <c r="A23" s="156">
        <v>16</v>
      </c>
      <c r="B23" s="157" t="s">
        <v>19</v>
      </c>
      <c r="C23" s="266">
        <v>200</v>
      </c>
      <c r="D23" s="266">
        <v>15.600000000000001</v>
      </c>
      <c r="E23" s="260">
        <v>100</v>
      </c>
      <c r="F23" s="87">
        <f t="shared" si="0"/>
        <v>315.60000000000002</v>
      </c>
      <c r="G23" s="266">
        <v>894</v>
      </c>
      <c r="H23" s="266">
        <v>21.32</v>
      </c>
      <c r="I23" s="260">
        <v>500</v>
      </c>
      <c r="J23" s="87">
        <f t="shared" si="1"/>
        <v>1415.3200000000002</v>
      </c>
      <c r="K23" s="266">
        <v>0</v>
      </c>
      <c r="L23" s="266">
        <v>14.040000000000001</v>
      </c>
      <c r="M23" s="260"/>
      <c r="N23" s="87">
        <f t="shared" si="2"/>
        <v>14.040000000000001</v>
      </c>
      <c r="O23" s="266">
        <v>1620.8</v>
      </c>
      <c r="P23" s="266">
        <v>23.400000000000002</v>
      </c>
      <c r="Q23" s="260">
        <v>800</v>
      </c>
      <c r="R23" s="87">
        <f t="shared" si="3"/>
        <v>2444.1999999999998</v>
      </c>
      <c r="S23" s="266">
        <v>2328</v>
      </c>
      <c r="T23" s="266">
        <v>5.2</v>
      </c>
      <c r="U23" s="260">
        <v>1000</v>
      </c>
      <c r="V23" s="87">
        <f t="shared" si="4"/>
        <v>3333.2</v>
      </c>
      <c r="W23" s="266">
        <v>200</v>
      </c>
      <c r="X23" s="266">
        <v>10.4</v>
      </c>
      <c r="Y23" s="260">
        <v>55</v>
      </c>
      <c r="Z23" s="87">
        <f t="shared" si="5"/>
        <v>265.39999999999998</v>
      </c>
      <c r="AA23" s="94">
        <f t="shared" si="12"/>
        <v>7787.7599999999993</v>
      </c>
      <c r="AB23" s="96" t="s">
        <v>53</v>
      </c>
      <c r="AC23" s="138"/>
      <c r="AD23" s="146">
        <v>16</v>
      </c>
      <c r="AE23" s="147" t="s">
        <v>19</v>
      </c>
      <c r="AF23" s="141">
        <f t="shared" si="15"/>
        <v>5242.8</v>
      </c>
      <c r="AG23" s="141">
        <f t="shared" si="15"/>
        <v>89.960000000000008</v>
      </c>
      <c r="AH23" s="141">
        <f t="shared" si="16"/>
        <v>2455</v>
      </c>
      <c r="AI23" s="108"/>
      <c r="AJ23" s="148">
        <v>16</v>
      </c>
      <c r="AK23" s="149" t="s">
        <v>19</v>
      </c>
      <c r="AL23" s="144">
        <f t="shared" si="8"/>
        <v>5242.8</v>
      </c>
      <c r="AM23" s="145">
        <f t="shared" si="9"/>
        <v>0.6732102684212149</v>
      </c>
      <c r="AN23" s="144">
        <f t="shared" si="13"/>
        <v>89.960000000000008</v>
      </c>
      <c r="AO23" s="145">
        <f t="shared" si="10"/>
        <v>1.1551460240171759E-2</v>
      </c>
      <c r="AP23" s="144">
        <f t="shared" si="14"/>
        <v>2455</v>
      </c>
      <c r="AQ23" s="145">
        <f t="shared" si="11"/>
        <v>0.31523827133861343</v>
      </c>
    </row>
    <row r="24" spans="1:43" x14ac:dyDescent="0.25">
      <c r="A24" s="156">
        <v>17</v>
      </c>
      <c r="B24" s="157" t="s">
        <v>20</v>
      </c>
      <c r="C24" s="266">
        <v>360</v>
      </c>
      <c r="D24" s="266">
        <v>5.2</v>
      </c>
      <c r="E24" s="260">
        <v>300</v>
      </c>
      <c r="F24" s="87">
        <f t="shared" si="0"/>
        <v>665.2</v>
      </c>
      <c r="G24" s="266">
        <v>1012.4</v>
      </c>
      <c r="H24" s="266">
        <v>19.240000000000002</v>
      </c>
      <c r="I24" s="260">
        <v>700</v>
      </c>
      <c r="J24" s="87">
        <f t="shared" si="1"/>
        <v>1731.6399999999999</v>
      </c>
      <c r="K24" s="266">
        <v>200</v>
      </c>
      <c r="L24" s="266">
        <v>11.959999999999999</v>
      </c>
      <c r="M24" s="260">
        <v>50</v>
      </c>
      <c r="N24" s="87">
        <f t="shared" si="2"/>
        <v>261.96000000000004</v>
      </c>
      <c r="O24" s="266">
        <v>1818</v>
      </c>
      <c r="P24" s="266">
        <v>39</v>
      </c>
      <c r="Q24" s="260">
        <v>800</v>
      </c>
      <c r="R24" s="87">
        <f t="shared" si="3"/>
        <v>2657</v>
      </c>
      <c r="S24" s="266">
        <v>2964</v>
      </c>
      <c r="T24" s="266">
        <v>5.2</v>
      </c>
      <c r="U24" s="260">
        <v>1000</v>
      </c>
      <c r="V24" s="87">
        <f t="shared" si="4"/>
        <v>3969.2</v>
      </c>
      <c r="W24" s="266">
        <v>200</v>
      </c>
      <c r="X24" s="266">
        <v>5.2</v>
      </c>
      <c r="Y24" s="260">
        <v>60</v>
      </c>
      <c r="Z24" s="87">
        <f t="shared" si="5"/>
        <v>265.2</v>
      </c>
      <c r="AA24" s="94">
        <f t="shared" si="12"/>
        <v>9550.2000000000007</v>
      </c>
      <c r="AB24" s="96" t="s">
        <v>53</v>
      </c>
      <c r="AC24" s="138"/>
      <c r="AD24" s="146">
        <v>17</v>
      </c>
      <c r="AE24" s="147" t="s">
        <v>20</v>
      </c>
      <c r="AF24" s="141">
        <f t="shared" si="15"/>
        <v>6554.4</v>
      </c>
      <c r="AG24" s="141">
        <f t="shared" si="15"/>
        <v>85.800000000000011</v>
      </c>
      <c r="AH24" s="141">
        <f t="shared" si="16"/>
        <v>2910</v>
      </c>
      <c r="AI24" s="108"/>
      <c r="AJ24" s="148">
        <v>17</v>
      </c>
      <c r="AK24" s="149" t="s">
        <v>20</v>
      </c>
      <c r="AL24" s="144">
        <f t="shared" si="8"/>
        <v>6554.4</v>
      </c>
      <c r="AM24" s="145">
        <f t="shared" si="9"/>
        <v>0.68631023434064198</v>
      </c>
      <c r="AN24" s="144">
        <f t="shared" si="13"/>
        <v>85.800000000000011</v>
      </c>
      <c r="AO24" s="145">
        <f t="shared" si="10"/>
        <v>8.9841050449205265E-3</v>
      </c>
      <c r="AP24" s="144">
        <f t="shared" si="14"/>
        <v>2910</v>
      </c>
      <c r="AQ24" s="145">
        <f t="shared" si="11"/>
        <v>0.30470566061443738</v>
      </c>
    </row>
    <row r="25" spans="1:43" x14ac:dyDescent="0.25">
      <c r="A25" s="156">
        <v>18</v>
      </c>
      <c r="B25" s="157" t="s">
        <v>21</v>
      </c>
      <c r="C25" s="266">
        <v>400</v>
      </c>
      <c r="D25" s="266">
        <v>10.4</v>
      </c>
      <c r="E25" s="260">
        <v>115</v>
      </c>
      <c r="F25" s="87">
        <f t="shared" si="0"/>
        <v>525.4</v>
      </c>
      <c r="G25" s="266">
        <v>1411.6</v>
      </c>
      <c r="H25" s="266">
        <v>23.400000000000002</v>
      </c>
      <c r="I25" s="260">
        <v>700</v>
      </c>
      <c r="J25" s="87">
        <f t="shared" si="1"/>
        <v>2135</v>
      </c>
      <c r="K25" s="266">
        <v>400</v>
      </c>
      <c r="L25" s="266">
        <v>8.84</v>
      </c>
      <c r="M25" s="260">
        <v>100</v>
      </c>
      <c r="N25" s="87">
        <f t="shared" si="2"/>
        <v>508.84</v>
      </c>
      <c r="O25" s="266">
        <v>1626</v>
      </c>
      <c r="P25" s="266">
        <v>24.44</v>
      </c>
      <c r="Q25" s="260">
        <v>800</v>
      </c>
      <c r="R25" s="87">
        <f t="shared" si="3"/>
        <v>2450.44</v>
      </c>
      <c r="S25" s="266">
        <v>3480</v>
      </c>
      <c r="T25" s="266">
        <v>5.2</v>
      </c>
      <c r="U25" s="260">
        <v>1870</v>
      </c>
      <c r="V25" s="87">
        <f t="shared" si="4"/>
        <v>5355.2</v>
      </c>
      <c r="W25" s="266">
        <v>200</v>
      </c>
      <c r="X25" s="266">
        <v>10.4</v>
      </c>
      <c r="Y25" s="260">
        <v>60</v>
      </c>
      <c r="Z25" s="87">
        <f t="shared" si="5"/>
        <v>270.39999999999998</v>
      </c>
      <c r="AA25" s="94">
        <f t="shared" si="12"/>
        <v>11245.28</v>
      </c>
      <c r="AB25" s="96" t="s">
        <v>53</v>
      </c>
      <c r="AC25" s="138"/>
      <c r="AD25" s="146">
        <v>18</v>
      </c>
      <c r="AE25" s="147" t="s">
        <v>21</v>
      </c>
      <c r="AF25" s="141">
        <f t="shared" si="15"/>
        <v>7517.6</v>
      </c>
      <c r="AG25" s="141">
        <f t="shared" si="15"/>
        <v>82.68</v>
      </c>
      <c r="AH25" s="141">
        <f t="shared" si="16"/>
        <v>3645</v>
      </c>
      <c r="AI25" s="108"/>
      <c r="AJ25" s="148">
        <v>18</v>
      </c>
      <c r="AK25" s="149" t="s">
        <v>21</v>
      </c>
      <c r="AL25" s="144">
        <f t="shared" si="8"/>
        <v>7517.6</v>
      </c>
      <c r="AM25" s="145">
        <f t="shared" si="9"/>
        <v>0.66851158886217155</v>
      </c>
      <c r="AN25" s="144">
        <f t="shared" si="13"/>
        <v>82.68</v>
      </c>
      <c r="AO25" s="145">
        <f t="shared" si="10"/>
        <v>7.3524180811860625E-3</v>
      </c>
      <c r="AP25" s="144">
        <f t="shared" si="14"/>
        <v>3645</v>
      </c>
      <c r="AQ25" s="145">
        <f t="shared" si="11"/>
        <v>0.32413599305664242</v>
      </c>
    </row>
    <row r="26" spans="1:43" x14ac:dyDescent="0.25">
      <c r="A26" s="156">
        <v>19</v>
      </c>
      <c r="B26" s="157" t="s">
        <v>22</v>
      </c>
      <c r="C26" s="266">
        <v>60</v>
      </c>
      <c r="D26" s="266">
        <v>23.400000000000002</v>
      </c>
      <c r="E26" s="260">
        <v>30</v>
      </c>
      <c r="F26" s="87">
        <f t="shared" si="0"/>
        <v>113.4</v>
      </c>
      <c r="G26" s="266">
        <v>610.79999999999995</v>
      </c>
      <c r="H26" s="266">
        <v>21.32</v>
      </c>
      <c r="I26" s="260">
        <v>500</v>
      </c>
      <c r="J26" s="87">
        <f t="shared" si="1"/>
        <v>1132.1199999999999</v>
      </c>
      <c r="K26" s="266">
        <v>400</v>
      </c>
      <c r="L26" s="266">
        <v>14.559999999999999</v>
      </c>
      <c r="M26" s="260">
        <v>200</v>
      </c>
      <c r="N26" s="87">
        <f t="shared" si="2"/>
        <v>614.55999999999995</v>
      </c>
      <c r="O26" s="266">
        <v>630</v>
      </c>
      <c r="P26" s="266">
        <v>19.759999999999998</v>
      </c>
      <c r="Q26" s="260">
        <v>300</v>
      </c>
      <c r="R26" s="87">
        <f t="shared" si="3"/>
        <v>949.76</v>
      </c>
      <c r="S26" s="266">
        <v>888</v>
      </c>
      <c r="T26" s="266">
        <v>5.2</v>
      </c>
      <c r="U26" s="260">
        <v>500</v>
      </c>
      <c r="V26" s="87">
        <f t="shared" si="4"/>
        <v>1393.2</v>
      </c>
      <c r="W26" s="266">
        <v>200</v>
      </c>
      <c r="X26" s="266">
        <v>5.2</v>
      </c>
      <c r="Y26" s="260">
        <v>60</v>
      </c>
      <c r="Z26" s="87">
        <f t="shared" si="5"/>
        <v>265.2</v>
      </c>
      <c r="AA26" s="94">
        <f t="shared" si="12"/>
        <v>4468.24</v>
      </c>
      <c r="AB26" s="96" t="s">
        <v>53</v>
      </c>
      <c r="AC26" s="138"/>
      <c r="AD26" s="146">
        <v>19</v>
      </c>
      <c r="AE26" s="147" t="s">
        <v>22</v>
      </c>
      <c r="AF26" s="141">
        <f t="shared" si="15"/>
        <v>2788.8</v>
      </c>
      <c r="AG26" s="141">
        <f t="shared" si="15"/>
        <v>89.44</v>
      </c>
      <c r="AH26" s="141">
        <f t="shared" si="16"/>
        <v>1590</v>
      </c>
      <c r="AI26" s="108"/>
      <c r="AJ26" s="148">
        <v>19</v>
      </c>
      <c r="AK26" s="149" t="s">
        <v>22</v>
      </c>
      <c r="AL26" s="144">
        <f t="shared" si="8"/>
        <v>2788.8</v>
      </c>
      <c r="AM26" s="145">
        <f t="shared" si="9"/>
        <v>0.62413836320340899</v>
      </c>
      <c r="AN26" s="144">
        <f t="shared" si="13"/>
        <v>89.44</v>
      </c>
      <c r="AO26" s="145">
        <f t="shared" si="10"/>
        <v>2.0016829892754193E-2</v>
      </c>
      <c r="AP26" s="144">
        <f t="shared" si="14"/>
        <v>1590</v>
      </c>
      <c r="AQ26" s="145">
        <f t="shared" si="11"/>
        <v>0.35584480690383685</v>
      </c>
    </row>
    <row r="27" spans="1:43" x14ac:dyDescent="0.25">
      <c r="A27" s="156">
        <v>20</v>
      </c>
      <c r="B27" s="157" t="s">
        <v>23</v>
      </c>
      <c r="C27" s="266">
        <v>160</v>
      </c>
      <c r="D27" s="266">
        <v>6.24</v>
      </c>
      <c r="E27" s="260">
        <v>100</v>
      </c>
      <c r="F27" s="87">
        <f t="shared" si="0"/>
        <v>266.24</v>
      </c>
      <c r="G27" s="266">
        <v>813.6</v>
      </c>
      <c r="H27" s="266">
        <v>13</v>
      </c>
      <c r="I27" s="260">
        <v>300</v>
      </c>
      <c r="J27" s="87">
        <f t="shared" si="1"/>
        <v>1126.5999999999999</v>
      </c>
      <c r="K27" s="266">
        <v>408.4</v>
      </c>
      <c r="L27" s="266">
        <v>14.559999999999999</v>
      </c>
      <c r="M27" s="260">
        <v>200</v>
      </c>
      <c r="N27" s="87">
        <f t="shared" si="2"/>
        <v>622.96</v>
      </c>
      <c r="O27" s="266">
        <v>420.4</v>
      </c>
      <c r="P27" s="266">
        <v>21.840000000000003</v>
      </c>
      <c r="Q27" s="260">
        <v>500</v>
      </c>
      <c r="R27" s="87">
        <f t="shared" si="3"/>
        <v>942.24</v>
      </c>
      <c r="S27" s="266">
        <v>560</v>
      </c>
      <c r="T27" s="260"/>
      <c r="U27" s="260">
        <v>500</v>
      </c>
      <c r="V27" s="87">
        <f t="shared" si="4"/>
        <v>1060</v>
      </c>
      <c r="W27" s="266">
        <v>200</v>
      </c>
      <c r="X27" s="266">
        <v>5.2</v>
      </c>
      <c r="Y27" s="260">
        <v>50</v>
      </c>
      <c r="Z27" s="87">
        <f t="shared" si="5"/>
        <v>255.2</v>
      </c>
      <c r="AA27" s="94">
        <f t="shared" si="12"/>
        <v>4273.24</v>
      </c>
      <c r="AB27" s="96" t="s">
        <v>53</v>
      </c>
      <c r="AC27" s="138"/>
      <c r="AD27" s="146">
        <v>20</v>
      </c>
      <c r="AE27" s="147" t="s">
        <v>23</v>
      </c>
      <c r="AF27" s="141">
        <f t="shared" si="15"/>
        <v>2562.4</v>
      </c>
      <c r="AG27" s="141">
        <f t="shared" si="15"/>
        <v>60.84</v>
      </c>
      <c r="AH27" s="141">
        <f t="shared" si="16"/>
        <v>1650</v>
      </c>
      <c r="AI27" s="108"/>
      <c r="AJ27" s="148">
        <v>20</v>
      </c>
      <c r="AK27" s="149" t="s">
        <v>23</v>
      </c>
      <c r="AL27" s="144">
        <f t="shared" si="8"/>
        <v>2562.4</v>
      </c>
      <c r="AM27" s="145">
        <f t="shared" si="9"/>
        <v>0.5996386816560737</v>
      </c>
      <c r="AN27" s="144">
        <f t="shared" si="13"/>
        <v>60.84</v>
      </c>
      <c r="AO27" s="145">
        <f t="shared" si="10"/>
        <v>1.4237440443317016E-2</v>
      </c>
      <c r="AP27" s="144">
        <f t="shared" si="14"/>
        <v>1650</v>
      </c>
      <c r="AQ27" s="145">
        <f t="shared" si="11"/>
        <v>0.38612387790060937</v>
      </c>
    </row>
    <row r="28" spans="1:43" x14ac:dyDescent="0.25">
      <c r="A28" s="156">
        <v>21</v>
      </c>
      <c r="B28" s="157" t="s">
        <v>24</v>
      </c>
      <c r="C28" s="266">
        <v>200</v>
      </c>
      <c r="D28" s="266">
        <v>5.2</v>
      </c>
      <c r="E28" s="260">
        <v>50</v>
      </c>
      <c r="F28" s="87">
        <f t="shared" si="0"/>
        <v>255.2</v>
      </c>
      <c r="G28" s="266">
        <v>411.6</v>
      </c>
      <c r="H28" s="266">
        <v>14.040000000000001</v>
      </c>
      <c r="I28" s="260">
        <v>100</v>
      </c>
      <c r="J28" s="87">
        <f t="shared" si="1"/>
        <v>525.6400000000001</v>
      </c>
      <c r="K28" s="266">
        <v>0</v>
      </c>
      <c r="L28" s="266">
        <v>7.2799999999999994</v>
      </c>
      <c r="M28" s="260"/>
      <c r="N28" s="87">
        <f t="shared" si="2"/>
        <v>7.2799999999999994</v>
      </c>
      <c r="O28" s="266">
        <v>826</v>
      </c>
      <c r="P28" s="266">
        <v>9.879999999999999</v>
      </c>
      <c r="Q28" s="260">
        <v>100</v>
      </c>
      <c r="R28" s="87">
        <f t="shared" si="3"/>
        <v>935.88</v>
      </c>
      <c r="S28" s="266">
        <v>0</v>
      </c>
      <c r="T28" s="260"/>
      <c r="U28" s="260"/>
      <c r="V28" s="87">
        <f t="shared" si="4"/>
        <v>0</v>
      </c>
      <c r="W28" s="266">
        <v>200</v>
      </c>
      <c r="X28" s="266">
        <v>0</v>
      </c>
      <c r="Y28" s="260">
        <v>50</v>
      </c>
      <c r="Z28" s="87">
        <f t="shared" si="5"/>
        <v>250</v>
      </c>
      <c r="AA28" s="94">
        <f t="shared" si="12"/>
        <v>1974</v>
      </c>
      <c r="AB28" s="96" t="s">
        <v>53</v>
      </c>
      <c r="AC28" s="138"/>
      <c r="AD28" s="146">
        <v>21</v>
      </c>
      <c r="AE28" s="147" t="s">
        <v>24</v>
      </c>
      <c r="AF28" s="141">
        <f t="shared" si="15"/>
        <v>1637.6</v>
      </c>
      <c r="AG28" s="141">
        <f t="shared" si="15"/>
        <v>36.400000000000006</v>
      </c>
      <c r="AH28" s="141">
        <f t="shared" si="16"/>
        <v>300</v>
      </c>
      <c r="AI28" s="108"/>
      <c r="AJ28" s="148">
        <v>21</v>
      </c>
      <c r="AK28" s="149" t="s">
        <v>24</v>
      </c>
      <c r="AL28" s="144">
        <f t="shared" si="8"/>
        <v>1637.6</v>
      </c>
      <c r="AM28" s="145">
        <f t="shared" si="9"/>
        <v>0.82958459979736576</v>
      </c>
      <c r="AN28" s="144">
        <f t="shared" si="13"/>
        <v>36.400000000000006</v>
      </c>
      <c r="AO28" s="145">
        <f t="shared" si="10"/>
        <v>1.843971631205674E-2</v>
      </c>
      <c r="AP28" s="144">
        <f t="shared" si="14"/>
        <v>300</v>
      </c>
      <c r="AQ28" s="145">
        <f t="shared" si="11"/>
        <v>0.1519756838905775</v>
      </c>
    </row>
    <row r="29" spans="1:43" x14ac:dyDescent="0.25">
      <c r="A29" s="156">
        <v>22</v>
      </c>
      <c r="B29" s="157" t="s">
        <v>25</v>
      </c>
      <c r="C29" s="266">
        <v>0</v>
      </c>
      <c r="D29" s="266">
        <v>0</v>
      </c>
      <c r="E29" s="260">
        <v>0</v>
      </c>
      <c r="F29" s="87">
        <f t="shared" si="0"/>
        <v>0</v>
      </c>
      <c r="G29" s="266">
        <v>14.4</v>
      </c>
      <c r="H29" s="266">
        <v>6.7600000000000007</v>
      </c>
      <c r="I29" s="260">
        <v>0</v>
      </c>
      <c r="J29" s="87">
        <f t="shared" si="1"/>
        <v>21.16</v>
      </c>
      <c r="K29" s="266">
        <v>0</v>
      </c>
      <c r="L29" s="266">
        <v>7.8000000000000007</v>
      </c>
      <c r="M29" s="260"/>
      <c r="N29" s="87">
        <f t="shared" si="2"/>
        <v>7.8000000000000007</v>
      </c>
      <c r="O29" s="266">
        <v>23.6</v>
      </c>
      <c r="P29" s="266">
        <v>16.12</v>
      </c>
      <c r="Q29" s="260">
        <v>0</v>
      </c>
      <c r="R29" s="87">
        <f t="shared" si="3"/>
        <v>39.72</v>
      </c>
      <c r="S29" s="266">
        <v>0</v>
      </c>
      <c r="T29" s="260"/>
      <c r="U29" s="260"/>
      <c r="V29" s="87">
        <f t="shared" si="4"/>
        <v>0</v>
      </c>
      <c r="W29" s="266">
        <v>200</v>
      </c>
      <c r="X29" s="266">
        <v>0</v>
      </c>
      <c r="Y29" s="260">
        <v>50</v>
      </c>
      <c r="Z29" s="87">
        <f t="shared" si="5"/>
        <v>250</v>
      </c>
      <c r="AA29" s="94">
        <f t="shared" si="12"/>
        <v>318.68</v>
      </c>
      <c r="AB29" s="96" t="s">
        <v>53</v>
      </c>
      <c r="AC29" s="138"/>
      <c r="AD29" s="146">
        <v>22</v>
      </c>
      <c r="AE29" s="147" t="s">
        <v>25</v>
      </c>
      <c r="AF29" s="141">
        <f t="shared" si="15"/>
        <v>238</v>
      </c>
      <c r="AG29" s="141">
        <f t="shared" si="15"/>
        <v>30.680000000000003</v>
      </c>
      <c r="AH29" s="141">
        <f t="shared" si="16"/>
        <v>50</v>
      </c>
      <c r="AI29" s="108"/>
      <c r="AJ29" s="148">
        <v>22</v>
      </c>
      <c r="AK29" s="149" t="s">
        <v>25</v>
      </c>
      <c r="AL29" s="144">
        <f t="shared" si="8"/>
        <v>238</v>
      </c>
      <c r="AM29" s="145">
        <f t="shared" si="9"/>
        <v>0.74683067654073054</v>
      </c>
      <c r="AN29" s="144">
        <f t="shared" si="13"/>
        <v>30.680000000000003</v>
      </c>
      <c r="AO29" s="145">
        <f t="shared" si="10"/>
        <v>9.6272122505334512E-2</v>
      </c>
      <c r="AP29" s="144">
        <f t="shared" si="14"/>
        <v>50</v>
      </c>
      <c r="AQ29" s="145">
        <f t="shared" si="11"/>
        <v>0.15689720095393497</v>
      </c>
    </row>
    <row r="30" spans="1:43" x14ac:dyDescent="0.25">
      <c r="A30" s="156">
        <v>23</v>
      </c>
      <c r="B30" s="157" t="s">
        <v>26</v>
      </c>
      <c r="C30" s="266">
        <v>120</v>
      </c>
      <c r="D30" s="266">
        <v>6.7600000000000007</v>
      </c>
      <c r="E30" s="260">
        <v>150</v>
      </c>
      <c r="F30" s="87">
        <f t="shared" si="0"/>
        <v>276.76</v>
      </c>
      <c r="G30" s="266">
        <v>614</v>
      </c>
      <c r="H30" s="266">
        <v>12.48</v>
      </c>
      <c r="I30" s="260">
        <v>300</v>
      </c>
      <c r="J30" s="87">
        <f t="shared" si="1"/>
        <v>926.48</v>
      </c>
      <c r="K30" s="266">
        <v>400</v>
      </c>
      <c r="L30" s="266">
        <v>17.68</v>
      </c>
      <c r="M30" s="260">
        <v>100</v>
      </c>
      <c r="N30" s="87">
        <f t="shared" si="2"/>
        <v>517.68000000000006</v>
      </c>
      <c r="O30" s="266">
        <v>624.4</v>
      </c>
      <c r="P30" s="266">
        <v>6.7600000000000007</v>
      </c>
      <c r="Q30" s="260">
        <v>400</v>
      </c>
      <c r="R30" s="87">
        <f t="shared" si="3"/>
        <v>1031.1599999999999</v>
      </c>
      <c r="S30" s="266">
        <v>564</v>
      </c>
      <c r="T30" s="260"/>
      <c r="U30" s="260">
        <v>500</v>
      </c>
      <c r="V30" s="87">
        <f t="shared" si="4"/>
        <v>1064</v>
      </c>
      <c r="W30" s="266">
        <v>200</v>
      </c>
      <c r="X30" s="266">
        <v>5.2</v>
      </c>
      <c r="Y30" s="260">
        <v>50</v>
      </c>
      <c r="Z30" s="87">
        <f t="shared" si="5"/>
        <v>255.2</v>
      </c>
      <c r="AA30" s="94">
        <f t="shared" si="12"/>
        <v>4071.2799999999997</v>
      </c>
      <c r="AB30" s="96" t="s">
        <v>53</v>
      </c>
      <c r="AC30" s="138"/>
      <c r="AD30" s="146">
        <v>23</v>
      </c>
      <c r="AE30" s="147" t="s">
        <v>26</v>
      </c>
      <c r="AF30" s="141">
        <f t="shared" si="15"/>
        <v>2522.4</v>
      </c>
      <c r="AG30" s="141">
        <f t="shared" si="15"/>
        <v>48.88</v>
      </c>
      <c r="AH30" s="141">
        <f t="shared" si="16"/>
        <v>1500</v>
      </c>
      <c r="AI30" s="108"/>
      <c r="AJ30" s="148">
        <v>23</v>
      </c>
      <c r="AK30" s="149" t="s">
        <v>26</v>
      </c>
      <c r="AL30" s="144">
        <f t="shared" si="8"/>
        <v>2522.4</v>
      </c>
      <c r="AM30" s="145">
        <f t="shared" si="9"/>
        <v>0.61955945059047779</v>
      </c>
      <c r="AN30" s="144">
        <f t="shared" si="13"/>
        <v>48.88</v>
      </c>
      <c r="AO30" s="145">
        <f t="shared" si="10"/>
        <v>1.2006052150674974E-2</v>
      </c>
      <c r="AP30" s="144">
        <f t="shared" si="14"/>
        <v>1500</v>
      </c>
      <c r="AQ30" s="145">
        <f t="shared" si="11"/>
        <v>0.36843449725884736</v>
      </c>
    </row>
    <row r="31" spans="1:43" x14ac:dyDescent="0.25">
      <c r="A31" s="156">
        <v>24</v>
      </c>
      <c r="B31" s="157" t="s">
        <v>27</v>
      </c>
      <c r="C31" s="266">
        <v>400</v>
      </c>
      <c r="D31" s="266">
        <v>5.2</v>
      </c>
      <c r="E31" s="260">
        <v>100</v>
      </c>
      <c r="F31" s="87">
        <f t="shared" si="0"/>
        <v>505.2</v>
      </c>
      <c r="G31" s="266">
        <v>1016.8</v>
      </c>
      <c r="H31" s="266">
        <v>0</v>
      </c>
      <c r="I31" s="260">
        <v>500</v>
      </c>
      <c r="J31" s="87">
        <f t="shared" si="1"/>
        <v>1516.8</v>
      </c>
      <c r="K31" s="266">
        <v>411.6</v>
      </c>
      <c r="L31" s="266">
        <v>11.959999999999999</v>
      </c>
      <c r="M31" s="260">
        <v>200</v>
      </c>
      <c r="N31" s="87">
        <f t="shared" si="2"/>
        <v>623.55999999999995</v>
      </c>
      <c r="O31" s="266">
        <v>1617.2</v>
      </c>
      <c r="P31" s="266">
        <v>17.68</v>
      </c>
      <c r="Q31" s="260">
        <v>800</v>
      </c>
      <c r="R31" s="87">
        <f t="shared" si="3"/>
        <v>2434.88</v>
      </c>
      <c r="S31" s="266">
        <v>1240</v>
      </c>
      <c r="T31" s="260"/>
      <c r="U31" s="260">
        <v>800</v>
      </c>
      <c r="V31" s="87">
        <f t="shared" si="4"/>
        <v>2040</v>
      </c>
      <c r="W31" s="266">
        <v>200</v>
      </c>
      <c r="X31" s="266">
        <v>0</v>
      </c>
      <c r="Y31" s="260">
        <v>50</v>
      </c>
      <c r="Z31" s="87">
        <f t="shared" si="5"/>
        <v>250</v>
      </c>
      <c r="AA31" s="94">
        <f t="shared" si="12"/>
        <v>7370.4400000000005</v>
      </c>
      <c r="AB31" s="96" t="s">
        <v>53</v>
      </c>
      <c r="AC31" s="138"/>
      <c r="AD31" s="146">
        <v>24</v>
      </c>
      <c r="AE31" s="147" t="s">
        <v>27</v>
      </c>
      <c r="AF31" s="141">
        <f t="shared" si="15"/>
        <v>4885.6000000000004</v>
      </c>
      <c r="AG31" s="141">
        <f t="shared" si="15"/>
        <v>34.840000000000003</v>
      </c>
      <c r="AH31" s="141">
        <f t="shared" si="16"/>
        <v>2450</v>
      </c>
      <c r="AI31" s="108"/>
      <c r="AJ31" s="148">
        <v>24</v>
      </c>
      <c r="AK31" s="149" t="s">
        <v>27</v>
      </c>
      <c r="AL31" s="144">
        <f t="shared" si="8"/>
        <v>4885.6000000000004</v>
      </c>
      <c r="AM31" s="145">
        <f t="shared" si="9"/>
        <v>0.66286408952518439</v>
      </c>
      <c r="AN31" s="144">
        <f t="shared" si="13"/>
        <v>34.840000000000003</v>
      </c>
      <c r="AO31" s="145">
        <f t="shared" si="10"/>
        <v>4.7269905188835407E-3</v>
      </c>
      <c r="AP31" s="144">
        <f t="shared" si="14"/>
        <v>2450</v>
      </c>
      <c r="AQ31" s="145">
        <f t="shared" si="11"/>
        <v>0.33240891995593203</v>
      </c>
    </row>
    <row r="32" spans="1:43" x14ac:dyDescent="0.25">
      <c r="A32" s="156">
        <v>25</v>
      </c>
      <c r="B32" s="157" t="s">
        <v>28</v>
      </c>
      <c r="C32" s="266">
        <v>40</v>
      </c>
      <c r="D32" s="266">
        <v>0</v>
      </c>
      <c r="E32" s="260">
        <v>50</v>
      </c>
      <c r="F32" s="87">
        <f t="shared" si="0"/>
        <v>90</v>
      </c>
      <c r="G32" s="266">
        <v>400</v>
      </c>
      <c r="H32" s="266">
        <v>5.2</v>
      </c>
      <c r="I32" s="260">
        <v>100</v>
      </c>
      <c r="J32" s="87">
        <f t="shared" si="1"/>
        <v>505.2</v>
      </c>
      <c r="K32" s="266">
        <v>200</v>
      </c>
      <c r="L32" s="266">
        <v>7.2799999999999994</v>
      </c>
      <c r="M32" s="260">
        <v>50</v>
      </c>
      <c r="N32" s="87">
        <f t="shared" si="2"/>
        <v>257.27999999999997</v>
      </c>
      <c r="O32" s="266">
        <v>7615.2</v>
      </c>
      <c r="P32" s="266">
        <v>18.2</v>
      </c>
      <c r="Q32" s="260">
        <v>2000</v>
      </c>
      <c r="R32" s="87">
        <f t="shared" si="3"/>
        <v>9633.4</v>
      </c>
      <c r="S32" s="266">
        <v>0</v>
      </c>
      <c r="T32" s="260"/>
      <c r="U32" s="260"/>
      <c r="V32" s="87">
        <f t="shared" si="4"/>
        <v>0</v>
      </c>
      <c r="W32" s="266">
        <v>200</v>
      </c>
      <c r="X32" s="266">
        <v>0</v>
      </c>
      <c r="Y32" s="260">
        <v>50</v>
      </c>
      <c r="Z32" s="87">
        <f t="shared" si="5"/>
        <v>250</v>
      </c>
      <c r="AA32" s="94">
        <f t="shared" si="12"/>
        <v>10735.88</v>
      </c>
      <c r="AB32" s="96" t="s">
        <v>53</v>
      </c>
      <c r="AC32" s="138"/>
      <c r="AD32" s="146">
        <v>25</v>
      </c>
      <c r="AE32" s="147" t="s">
        <v>28</v>
      </c>
      <c r="AF32" s="141">
        <f t="shared" si="15"/>
        <v>8455.2000000000007</v>
      </c>
      <c r="AG32" s="141">
        <f t="shared" si="15"/>
        <v>30.68</v>
      </c>
      <c r="AH32" s="141">
        <f t="shared" si="16"/>
        <v>2250</v>
      </c>
      <c r="AI32" s="108"/>
      <c r="AJ32" s="148">
        <v>25</v>
      </c>
      <c r="AK32" s="149" t="s">
        <v>28</v>
      </c>
      <c r="AL32" s="144">
        <f t="shared" si="8"/>
        <v>8455.2000000000007</v>
      </c>
      <c r="AM32" s="145">
        <f t="shared" si="9"/>
        <v>0.78756468962022685</v>
      </c>
      <c r="AN32" s="144">
        <f t="shared" si="13"/>
        <v>30.68</v>
      </c>
      <c r="AO32" s="145">
        <f t="shared" si="10"/>
        <v>2.8577070533575264E-3</v>
      </c>
      <c r="AP32" s="144">
        <f t="shared" si="14"/>
        <v>2250</v>
      </c>
      <c r="AQ32" s="145">
        <f t="shared" si="11"/>
        <v>0.20957760332641573</v>
      </c>
    </row>
    <row r="33" spans="1:43" x14ac:dyDescent="0.25">
      <c r="A33" s="156">
        <v>26</v>
      </c>
      <c r="B33" s="157" t="s">
        <v>29</v>
      </c>
      <c r="C33" s="266">
        <v>104</v>
      </c>
      <c r="D33" s="266">
        <v>0</v>
      </c>
      <c r="E33" s="260">
        <v>50</v>
      </c>
      <c r="F33" s="87">
        <f t="shared" si="0"/>
        <v>154</v>
      </c>
      <c r="G33" s="266">
        <v>400</v>
      </c>
      <c r="H33" s="266">
        <v>0</v>
      </c>
      <c r="I33" s="260">
        <v>200</v>
      </c>
      <c r="J33" s="87">
        <f t="shared" si="1"/>
        <v>600</v>
      </c>
      <c r="K33" s="266">
        <v>200</v>
      </c>
      <c r="L33" s="266">
        <v>8.84</v>
      </c>
      <c r="M33" s="260">
        <v>50</v>
      </c>
      <c r="N33" s="87">
        <f t="shared" si="2"/>
        <v>258.84000000000003</v>
      </c>
      <c r="O33" s="266">
        <v>432</v>
      </c>
      <c r="P33" s="266">
        <v>14.559999999999999</v>
      </c>
      <c r="Q33" s="260">
        <v>300</v>
      </c>
      <c r="R33" s="87">
        <f t="shared" si="3"/>
        <v>746.56</v>
      </c>
      <c r="S33" s="266">
        <v>580</v>
      </c>
      <c r="T33" s="260"/>
      <c r="U33" s="260">
        <v>500</v>
      </c>
      <c r="V33" s="87">
        <f t="shared" si="4"/>
        <v>1080</v>
      </c>
      <c r="W33" s="266">
        <v>200</v>
      </c>
      <c r="X33" s="266">
        <v>0</v>
      </c>
      <c r="Y33" s="260">
        <v>55</v>
      </c>
      <c r="Z33" s="87">
        <f t="shared" si="5"/>
        <v>255</v>
      </c>
      <c r="AA33" s="94">
        <f t="shared" si="12"/>
        <v>3094.4</v>
      </c>
      <c r="AB33" s="96" t="s">
        <v>53</v>
      </c>
      <c r="AC33" s="138"/>
      <c r="AD33" s="146">
        <v>26</v>
      </c>
      <c r="AE33" s="147" t="s">
        <v>29</v>
      </c>
      <c r="AF33" s="141">
        <f t="shared" si="15"/>
        <v>1916</v>
      </c>
      <c r="AG33" s="141">
        <f t="shared" si="15"/>
        <v>23.4</v>
      </c>
      <c r="AH33" s="141">
        <f t="shared" si="16"/>
        <v>1155</v>
      </c>
      <c r="AI33" s="108"/>
      <c r="AJ33" s="148">
        <v>26</v>
      </c>
      <c r="AK33" s="149" t="s">
        <v>29</v>
      </c>
      <c r="AL33" s="144">
        <f t="shared" si="8"/>
        <v>1916</v>
      </c>
      <c r="AM33" s="145">
        <f t="shared" si="9"/>
        <v>0.61918304033092031</v>
      </c>
      <c r="AN33" s="144">
        <f t="shared" si="13"/>
        <v>23.4</v>
      </c>
      <c r="AO33" s="145">
        <f t="shared" si="10"/>
        <v>7.5620475698035157E-3</v>
      </c>
      <c r="AP33" s="144">
        <f t="shared" si="14"/>
        <v>1155</v>
      </c>
      <c r="AQ33" s="145">
        <f t="shared" si="11"/>
        <v>0.37325491209927608</v>
      </c>
    </row>
    <row r="34" spans="1:43" x14ac:dyDescent="0.25">
      <c r="A34" s="156">
        <v>27</v>
      </c>
      <c r="B34" s="157" t="s">
        <v>30</v>
      </c>
      <c r="C34" s="266">
        <v>400</v>
      </c>
      <c r="D34" s="266">
        <v>5.2</v>
      </c>
      <c r="E34" s="260">
        <v>125</v>
      </c>
      <c r="F34" s="87">
        <f t="shared" si="0"/>
        <v>530.20000000000005</v>
      </c>
      <c r="G34" s="266">
        <v>800</v>
      </c>
      <c r="H34" s="266">
        <v>5.2</v>
      </c>
      <c r="I34" s="260">
        <v>500</v>
      </c>
      <c r="J34" s="87">
        <f t="shared" si="1"/>
        <v>1305.2</v>
      </c>
      <c r="K34" s="266">
        <v>400</v>
      </c>
      <c r="L34" s="266">
        <v>8.32</v>
      </c>
      <c r="M34" s="260">
        <v>100</v>
      </c>
      <c r="N34" s="87">
        <f t="shared" si="2"/>
        <v>508.32</v>
      </c>
      <c r="O34" s="266">
        <v>1318.84</v>
      </c>
      <c r="P34" s="266">
        <v>13.520000000000001</v>
      </c>
      <c r="Q34" s="260">
        <v>500</v>
      </c>
      <c r="R34" s="87">
        <f t="shared" si="3"/>
        <v>1832.36</v>
      </c>
      <c r="S34" s="266">
        <v>964</v>
      </c>
      <c r="T34" s="260"/>
      <c r="U34" s="260">
        <v>800</v>
      </c>
      <c r="V34" s="87">
        <f t="shared" si="4"/>
        <v>1764</v>
      </c>
      <c r="W34" s="266">
        <v>200</v>
      </c>
      <c r="X34" s="266">
        <v>10.4</v>
      </c>
      <c r="Y34" s="260">
        <v>50</v>
      </c>
      <c r="Z34" s="87">
        <f t="shared" si="5"/>
        <v>260.39999999999998</v>
      </c>
      <c r="AA34" s="94">
        <f t="shared" si="12"/>
        <v>6200.48</v>
      </c>
      <c r="AB34" s="96" t="s">
        <v>53</v>
      </c>
      <c r="AC34" s="138"/>
      <c r="AD34" s="146">
        <v>27</v>
      </c>
      <c r="AE34" s="147" t="s">
        <v>30</v>
      </c>
      <c r="AF34" s="141">
        <f t="shared" si="15"/>
        <v>4082.84</v>
      </c>
      <c r="AG34" s="141">
        <f t="shared" si="15"/>
        <v>42.64</v>
      </c>
      <c r="AH34" s="141">
        <f t="shared" si="16"/>
        <v>2075</v>
      </c>
      <c r="AI34" s="108"/>
      <c r="AJ34" s="148">
        <v>27</v>
      </c>
      <c r="AK34" s="149" t="s">
        <v>30</v>
      </c>
      <c r="AL34" s="144">
        <f t="shared" si="8"/>
        <v>4082.84</v>
      </c>
      <c r="AM34" s="145">
        <f t="shared" si="9"/>
        <v>0.65847160219853951</v>
      </c>
      <c r="AN34" s="144">
        <f t="shared" si="13"/>
        <v>42.64</v>
      </c>
      <c r="AO34" s="145">
        <f t="shared" si="10"/>
        <v>6.8768869506876896E-3</v>
      </c>
      <c r="AP34" s="144">
        <f t="shared" si="14"/>
        <v>2075</v>
      </c>
      <c r="AQ34" s="145">
        <f t="shared" si="11"/>
        <v>0.33465151085077288</v>
      </c>
    </row>
    <row r="35" spans="1:43" x14ac:dyDescent="0.25">
      <c r="A35" s="156">
        <v>28</v>
      </c>
      <c r="B35" s="157" t="s">
        <v>31</v>
      </c>
      <c r="C35" s="266">
        <v>72</v>
      </c>
      <c r="D35" s="266">
        <v>0</v>
      </c>
      <c r="E35" s="260">
        <v>100</v>
      </c>
      <c r="F35" s="87">
        <f t="shared" si="0"/>
        <v>172</v>
      </c>
      <c r="G35" s="266">
        <v>400</v>
      </c>
      <c r="H35" s="266">
        <v>0</v>
      </c>
      <c r="I35" s="260">
        <v>200</v>
      </c>
      <c r="J35" s="87">
        <f t="shared" si="1"/>
        <v>600</v>
      </c>
      <c r="K35" s="266">
        <v>408</v>
      </c>
      <c r="L35" s="266">
        <v>17.68</v>
      </c>
      <c r="M35" s="260">
        <v>100</v>
      </c>
      <c r="N35" s="87">
        <f t="shared" si="2"/>
        <v>525.68000000000006</v>
      </c>
      <c r="O35" s="266">
        <v>418</v>
      </c>
      <c r="P35" s="266">
        <v>17.68</v>
      </c>
      <c r="Q35" s="260">
        <v>100</v>
      </c>
      <c r="R35" s="87">
        <f t="shared" si="3"/>
        <v>535.68000000000006</v>
      </c>
      <c r="S35" s="266">
        <v>844</v>
      </c>
      <c r="T35" s="260"/>
      <c r="U35" s="260">
        <v>800</v>
      </c>
      <c r="V35" s="87">
        <f t="shared" si="4"/>
        <v>1644</v>
      </c>
      <c r="W35" s="266">
        <v>200</v>
      </c>
      <c r="X35" s="266">
        <v>0</v>
      </c>
      <c r="Y35" s="260">
        <v>50</v>
      </c>
      <c r="Z35" s="87">
        <f t="shared" si="5"/>
        <v>250</v>
      </c>
      <c r="AA35" s="94">
        <f t="shared" si="12"/>
        <v>3727.36</v>
      </c>
      <c r="AB35" s="96" t="s">
        <v>53</v>
      </c>
      <c r="AC35" s="138"/>
      <c r="AD35" s="146">
        <v>28</v>
      </c>
      <c r="AE35" s="147" t="s">
        <v>31</v>
      </c>
      <c r="AF35" s="141">
        <f t="shared" si="15"/>
        <v>2342</v>
      </c>
      <c r="AG35" s="141">
        <f t="shared" si="15"/>
        <v>35.36</v>
      </c>
      <c r="AH35" s="141">
        <f t="shared" si="16"/>
        <v>1350</v>
      </c>
      <c r="AI35" s="108"/>
      <c r="AJ35" s="148">
        <v>28</v>
      </c>
      <c r="AK35" s="149" t="s">
        <v>31</v>
      </c>
      <c r="AL35" s="144">
        <f t="shared" si="8"/>
        <v>2342</v>
      </c>
      <c r="AM35" s="145">
        <f t="shared" si="9"/>
        <v>0.62832675137362637</v>
      </c>
      <c r="AN35" s="144">
        <f t="shared" si="13"/>
        <v>35.36</v>
      </c>
      <c r="AO35" s="145">
        <f t="shared" si="10"/>
        <v>9.4866071428571421E-3</v>
      </c>
      <c r="AP35" s="144">
        <f t="shared" si="14"/>
        <v>1350</v>
      </c>
      <c r="AQ35" s="145">
        <f t="shared" si="11"/>
        <v>0.36218664148351648</v>
      </c>
    </row>
    <row r="36" spans="1:43" x14ac:dyDescent="0.25">
      <c r="A36" s="156">
        <v>29</v>
      </c>
      <c r="B36" s="157" t="s">
        <v>32</v>
      </c>
      <c r="C36" s="266">
        <v>0</v>
      </c>
      <c r="D36" s="266">
        <v>17.68</v>
      </c>
      <c r="E36" s="260">
        <v>0</v>
      </c>
      <c r="F36" s="87">
        <f t="shared" si="0"/>
        <v>17.68</v>
      </c>
      <c r="G36" s="266">
        <v>0</v>
      </c>
      <c r="H36" s="266">
        <v>0</v>
      </c>
      <c r="I36" s="260">
        <v>0</v>
      </c>
      <c r="J36" s="87">
        <f t="shared" si="1"/>
        <v>0</v>
      </c>
      <c r="K36" s="266">
        <v>0</v>
      </c>
      <c r="L36" s="266">
        <v>24.44</v>
      </c>
      <c r="M36" s="260"/>
      <c r="N36" s="87">
        <f t="shared" si="2"/>
        <v>24.44</v>
      </c>
      <c r="O36" s="266">
        <v>21.6</v>
      </c>
      <c r="P36" s="266">
        <v>22.36</v>
      </c>
      <c r="Q36" s="260">
        <v>0</v>
      </c>
      <c r="R36" s="87">
        <f t="shared" si="3"/>
        <v>43.96</v>
      </c>
      <c r="S36" s="266">
        <v>0</v>
      </c>
      <c r="T36" s="260"/>
      <c r="U36" s="260"/>
      <c r="V36" s="87">
        <f t="shared" si="4"/>
        <v>0</v>
      </c>
      <c r="W36" s="266">
        <v>200</v>
      </c>
      <c r="X36" s="266">
        <v>0</v>
      </c>
      <c r="Y36" s="260">
        <v>50</v>
      </c>
      <c r="Z36" s="87">
        <f t="shared" si="5"/>
        <v>250</v>
      </c>
      <c r="AA36" s="94">
        <f t="shared" si="12"/>
        <v>336.08000000000004</v>
      </c>
      <c r="AB36" s="96" t="s">
        <v>53</v>
      </c>
      <c r="AC36" s="138"/>
      <c r="AD36" s="146">
        <v>29</v>
      </c>
      <c r="AE36" s="147" t="s">
        <v>32</v>
      </c>
      <c r="AF36" s="141">
        <f t="shared" si="15"/>
        <v>221.6</v>
      </c>
      <c r="AG36" s="141">
        <f t="shared" si="15"/>
        <v>64.48</v>
      </c>
      <c r="AH36" s="141">
        <f t="shared" si="16"/>
        <v>50</v>
      </c>
      <c r="AI36" s="108"/>
      <c r="AJ36" s="148">
        <v>29</v>
      </c>
      <c r="AK36" s="149" t="s">
        <v>32</v>
      </c>
      <c r="AL36" s="144">
        <f t="shared" si="8"/>
        <v>221.6</v>
      </c>
      <c r="AM36" s="145">
        <f t="shared" si="9"/>
        <v>0.65936681742442271</v>
      </c>
      <c r="AN36" s="144">
        <f t="shared" si="13"/>
        <v>64.48</v>
      </c>
      <c r="AO36" s="145">
        <f t="shared" si="10"/>
        <v>0.19185908117114972</v>
      </c>
      <c r="AP36" s="144">
        <f t="shared" si="14"/>
        <v>50</v>
      </c>
      <c r="AQ36" s="145">
        <f t="shared" si="11"/>
        <v>0.14877410140442751</v>
      </c>
    </row>
    <row r="37" spans="1:43" x14ac:dyDescent="0.25">
      <c r="A37" s="156">
        <v>30</v>
      </c>
      <c r="B37" s="157" t="s">
        <v>33</v>
      </c>
      <c r="C37" s="266">
        <v>320</v>
      </c>
      <c r="D37" s="266">
        <v>0</v>
      </c>
      <c r="E37" s="260">
        <v>100</v>
      </c>
      <c r="F37" s="87">
        <f t="shared" si="0"/>
        <v>420</v>
      </c>
      <c r="G37" s="266">
        <v>600</v>
      </c>
      <c r="H37" s="266">
        <v>10.4</v>
      </c>
      <c r="I37" s="260">
        <v>500</v>
      </c>
      <c r="J37" s="87">
        <f t="shared" si="1"/>
        <v>1110.4000000000001</v>
      </c>
      <c r="K37" s="266">
        <v>400</v>
      </c>
      <c r="L37" s="266">
        <v>8.84</v>
      </c>
      <c r="M37" s="260">
        <v>100</v>
      </c>
      <c r="N37" s="87">
        <f t="shared" si="2"/>
        <v>508.84</v>
      </c>
      <c r="O37" s="266">
        <v>626</v>
      </c>
      <c r="P37" s="266">
        <v>10.920000000000002</v>
      </c>
      <c r="Q37" s="260">
        <v>500</v>
      </c>
      <c r="R37" s="87">
        <f t="shared" si="3"/>
        <v>1136.92</v>
      </c>
      <c r="S37" s="266">
        <v>1000</v>
      </c>
      <c r="T37" s="260"/>
      <c r="U37" s="260">
        <v>800</v>
      </c>
      <c r="V37" s="87">
        <f t="shared" si="4"/>
        <v>1800</v>
      </c>
      <c r="W37" s="266">
        <v>200</v>
      </c>
      <c r="X37" s="266">
        <v>5.2</v>
      </c>
      <c r="Y37" s="260">
        <v>50</v>
      </c>
      <c r="Z37" s="87">
        <f t="shared" si="5"/>
        <v>255.2</v>
      </c>
      <c r="AA37" s="94">
        <f t="shared" si="12"/>
        <v>5231.3599999999997</v>
      </c>
      <c r="AB37" s="96" t="s">
        <v>53</v>
      </c>
      <c r="AC37" s="138"/>
      <c r="AD37" s="146">
        <v>30</v>
      </c>
      <c r="AE37" s="147" t="s">
        <v>33</v>
      </c>
      <c r="AF37" s="141">
        <f t="shared" si="15"/>
        <v>3146</v>
      </c>
      <c r="AG37" s="141">
        <f t="shared" si="15"/>
        <v>35.360000000000007</v>
      </c>
      <c r="AH37" s="141">
        <f t="shared" si="16"/>
        <v>2050</v>
      </c>
      <c r="AI37" s="108"/>
      <c r="AJ37" s="148">
        <v>30</v>
      </c>
      <c r="AK37" s="149" t="s">
        <v>33</v>
      </c>
      <c r="AL37" s="144">
        <f t="shared" si="8"/>
        <v>3146</v>
      </c>
      <c r="AM37" s="145">
        <f t="shared" si="9"/>
        <v>0.60137325666748231</v>
      </c>
      <c r="AN37" s="144">
        <f t="shared" si="13"/>
        <v>35.360000000000007</v>
      </c>
      <c r="AO37" s="145">
        <f t="shared" si="10"/>
        <v>6.7592366038659183E-3</v>
      </c>
      <c r="AP37" s="144">
        <f t="shared" si="14"/>
        <v>2050</v>
      </c>
      <c r="AQ37" s="145">
        <f t="shared" si="11"/>
        <v>0.39186750672865184</v>
      </c>
    </row>
    <row r="38" spans="1:43" ht="15.75" thickBot="1" x14ac:dyDescent="0.3">
      <c r="A38" s="158">
        <v>31</v>
      </c>
      <c r="B38" s="159" t="s">
        <v>34</v>
      </c>
      <c r="C38" s="266">
        <v>200</v>
      </c>
      <c r="D38" s="266">
        <v>5.2</v>
      </c>
      <c r="E38" s="262">
        <v>55</v>
      </c>
      <c r="F38" s="88">
        <f t="shared" si="0"/>
        <v>260.2</v>
      </c>
      <c r="G38" s="266">
        <v>400</v>
      </c>
      <c r="H38" s="262"/>
      <c r="I38" s="262">
        <v>500</v>
      </c>
      <c r="J38" s="88">
        <f t="shared" si="1"/>
        <v>900</v>
      </c>
      <c r="K38" s="266">
        <v>800</v>
      </c>
      <c r="L38" s="266">
        <v>7.2799999999999994</v>
      </c>
      <c r="M38" s="262">
        <v>200</v>
      </c>
      <c r="N38" s="88">
        <f t="shared" si="2"/>
        <v>1007.28</v>
      </c>
      <c r="O38" s="266">
        <v>814.8</v>
      </c>
      <c r="P38" s="266">
        <v>15.08</v>
      </c>
      <c r="Q38" s="262">
        <v>300</v>
      </c>
      <c r="R38" s="88">
        <f t="shared" si="3"/>
        <v>1129.8800000000001</v>
      </c>
      <c r="S38" s="266">
        <v>1928</v>
      </c>
      <c r="T38" s="262"/>
      <c r="U38" s="262">
        <v>500</v>
      </c>
      <c r="V38" s="88">
        <f t="shared" si="4"/>
        <v>2428</v>
      </c>
      <c r="W38" s="266">
        <v>200</v>
      </c>
      <c r="X38" s="266"/>
      <c r="Y38" s="262">
        <v>50</v>
      </c>
      <c r="Z38" s="88">
        <f t="shared" si="5"/>
        <v>250</v>
      </c>
      <c r="AA38" s="94">
        <f t="shared" si="12"/>
        <v>5975.3600000000006</v>
      </c>
      <c r="AB38" s="97" t="s">
        <v>53</v>
      </c>
      <c r="AC38" s="138"/>
      <c r="AD38" s="150">
        <v>31</v>
      </c>
      <c r="AE38" s="151" t="s">
        <v>34</v>
      </c>
      <c r="AF38" s="141">
        <f t="shared" si="15"/>
        <v>4342.8</v>
      </c>
      <c r="AG38" s="141">
        <f t="shared" si="15"/>
        <v>27.560000000000002</v>
      </c>
      <c r="AH38" s="141">
        <f t="shared" si="16"/>
        <v>1605</v>
      </c>
      <c r="AI38" s="108"/>
      <c r="AJ38" s="148">
        <v>31</v>
      </c>
      <c r="AK38" s="149" t="s">
        <v>34</v>
      </c>
      <c r="AL38" s="152">
        <f t="shared" si="8"/>
        <v>4342.8</v>
      </c>
      <c r="AM38" s="153">
        <f t="shared" si="9"/>
        <v>0.7267846623467038</v>
      </c>
      <c r="AN38" s="144">
        <f t="shared" si="13"/>
        <v>27.560000000000002</v>
      </c>
      <c r="AO38" s="145">
        <f t="shared" si="10"/>
        <v>4.6122744068976601E-3</v>
      </c>
      <c r="AP38" s="144">
        <f t="shared" si="14"/>
        <v>1605</v>
      </c>
      <c r="AQ38" s="145">
        <f t="shared" si="11"/>
        <v>0.26860306324639854</v>
      </c>
    </row>
    <row r="39" spans="1:43" ht="33.75" customHeight="1" thickBot="1" x14ac:dyDescent="0.3">
      <c r="A39" s="308" t="s">
        <v>58</v>
      </c>
      <c r="B39" s="309"/>
      <c r="C39" s="99">
        <f t="shared" ref="C39:I39" si="17">SUM(C8:C38)</f>
        <v>6240</v>
      </c>
      <c r="D39" s="100">
        <f t="shared" si="17"/>
        <v>302.11999999999995</v>
      </c>
      <c r="E39" s="100">
        <f t="shared" si="17"/>
        <v>2663</v>
      </c>
      <c r="F39" s="219">
        <f t="shared" si="17"/>
        <v>9205.1200000000008</v>
      </c>
      <c r="G39" s="101">
        <f t="shared" si="17"/>
        <v>20309.2</v>
      </c>
      <c r="H39" s="102">
        <f t="shared" si="17"/>
        <v>392.08</v>
      </c>
      <c r="I39" s="102">
        <f t="shared" si="17"/>
        <v>11100</v>
      </c>
      <c r="J39" s="219">
        <f>SUM(J8:J38)</f>
        <v>31801.279999999999</v>
      </c>
      <c r="K39" s="101">
        <f>SUM(K8:K38)</f>
        <v>7746</v>
      </c>
      <c r="L39" s="102">
        <f>SUM(L8:L38)</f>
        <v>360.87999999999988</v>
      </c>
      <c r="M39" s="102">
        <f t="shared" ref="M39" si="18">SUM(M8:M38)</f>
        <v>2250</v>
      </c>
      <c r="N39" s="219">
        <f>SUM(N8:N38)</f>
        <v>10356.880000000003</v>
      </c>
      <c r="O39" s="101">
        <f>SUM(O8:O38)</f>
        <v>28681.239999999998</v>
      </c>
      <c r="P39" s="102">
        <f>SUM(P8:P38)</f>
        <v>596.43999999999983</v>
      </c>
      <c r="Q39" s="102">
        <f t="shared" ref="Q39" si="19">SUM(Q8:Q38)</f>
        <v>12200</v>
      </c>
      <c r="R39" s="219">
        <f>SUM(R8:R38)</f>
        <v>41477.679999999993</v>
      </c>
      <c r="S39" s="101">
        <f>SUM(S8:S38)</f>
        <v>27024</v>
      </c>
      <c r="T39" s="102">
        <f>SUM(T8:T38)</f>
        <v>104.00000000000003</v>
      </c>
      <c r="U39" s="102">
        <f t="shared" ref="U39" si="20">SUM(U8:U38)</f>
        <v>15831</v>
      </c>
      <c r="V39" s="219">
        <f>SUM(V8:V38)</f>
        <v>42959</v>
      </c>
      <c r="W39" s="101">
        <f>SUM(W8:W38)</f>
        <v>5808</v>
      </c>
      <c r="X39" s="102">
        <f>SUM(X8:X38)</f>
        <v>166.39999999999998</v>
      </c>
      <c r="Y39" s="102">
        <f t="shared" ref="Y39" si="21">SUM(Y8:Y38)</f>
        <v>1518</v>
      </c>
      <c r="Z39" s="219">
        <f>SUM(Z8:Z38)</f>
        <v>7492.3999999999987</v>
      </c>
      <c r="AA39" s="220">
        <f>SUM(AA8:AA38)</f>
        <v>143292.35999999999</v>
      </c>
      <c r="AB39" s="221" t="s">
        <v>51</v>
      </c>
      <c r="AC39" s="103"/>
      <c r="AD39" s="104" t="s">
        <v>96</v>
      </c>
      <c r="AE39" s="105"/>
      <c r="AF39" s="106">
        <f>SUM(AF8:AF38)</f>
        <v>95808.44</v>
      </c>
      <c r="AG39" s="106">
        <f>SUM(AG8:AG38)</f>
        <v>1921.92</v>
      </c>
      <c r="AH39" s="107">
        <f>SUM(AH8:AH38)</f>
        <v>45562</v>
      </c>
      <c r="AI39" s="108"/>
      <c r="AJ39" s="109" t="s">
        <v>94</v>
      </c>
      <c r="AK39" s="110"/>
      <c r="AL39" s="111">
        <f>SUM(AL8:AL38)</f>
        <v>95808.44</v>
      </c>
      <c r="AM39" s="112" t="s">
        <v>64</v>
      </c>
      <c r="AN39" s="111">
        <f>SUM(AN8:AN38)</f>
        <v>1921.92</v>
      </c>
      <c r="AO39" s="113" t="s">
        <v>64</v>
      </c>
      <c r="AP39" s="111">
        <f>SUM(AP8:AP38)</f>
        <v>45562</v>
      </c>
      <c r="AQ39" s="113" t="s">
        <v>64</v>
      </c>
    </row>
    <row r="40" spans="1:43" ht="33.75" customHeight="1" thickBot="1" x14ac:dyDescent="0.3">
      <c r="A40" s="308" t="s">
        <v>59</v>
      </c>
      <c r="B40" s="309"/>
      <c r="C40" s="114">
        <f>C39/1000</f>
        <v>6.24</v>
      </c>
      <c r="D40" s="115">
        <f t="shared" ref="D40:E40" si="22">D39/1000</f>
        <v>0.30211999999999994</v>
      </c>
      <c r="E40" s="115">
        <f t="shared" si="22"/>
        <v>2.6629999999999998</v>
      </c>
      <c r="F40" s="222">
        <f>F39/1000</f>
        <v>9.2051200000000009</v>
      </c>
      <c r="G40" s="116">
        <f>G39/1000</f>
        <v>20.309200000000001</v>
      </c>
      <c r="H40" s="117">
        <f t="shared" ref="H40:I40" si="23">H39/1000</f>
        <v>0.39207999999999998</v>
      </c>
      <c r="I40" s="117">
        <f t="shared" si="23"/>
        <v>11.1</v>
      </c>
      <c r="J40" s="222">
        <f>J39/1000</f>
        <v>31.801279999999998</v>
      </c>
      <c r="K40" s="116">
        <f>K39/1000</f>
        <v>7.7460000000000004</v>
      </c>
      <c r="L40" s="117">
        <f t="shared" ref="L40:M40" si="24">L39/1000</f>
        <v>0.36087999999999987</v>
      </c>
      <c r="M40" s="117">
        <f t="shared" si="24"/>
        <v>2.25</v>
      </c>
      <c r="N40" s="222">
        <f>N39/1000</f>
        <v>10.356880000000002</v>
      </c>
      <c r="O40" s="116">
        <f>O39/1000</f>
        <v>28.681239999999999</v>
      </c>
      <c r="P40" s="117">
        <f t="shared" ref="P40:Q40" si="25">P39/1000</f>
        <v>0.59643999999999986</v>
      </c>
      <c r="Q40" s="117">
        <f t="shared" si="25"/>
        <v>12.2</v>
      </c>
      <c r="R40" s="222">
        <f>R39/1000</f>
        <v>41.477679999999992</v>
      </c>
      <c r="S40" s="116">
        <f>S39/1000</f>
        <v>27.024000000000001</v>
      </c>
      <c r="T40" s="117">
        <f t="shared" ref="T40" si="26">T39/1000</f>
        <v>0.10400000000000002</v>
      </c>
      <c r="U40" s="117">
        <f>U39/1000</f>
        <v>15.831</v>
      </c>
      <c r="V40" s="222">
        <f>V39/1000</f>
        <v>42.959000000000003</v>
      </c>
      <c r="W40" s="116">
        <f>W39/1000</f>
        <v>5.8079999999999998</v>
      </c>
      <c r="X40" s="117">
        <f t="shared" ref="X40:Y40" si="27">X39/1000</f>
        <v>0.16639999999999996</v>
      </c>
      <c r="Y40" s="117">
        <f t="shared" si="27"/>
        <v>1.518</v>
      </c>
      <c r="Z40" s="222">
        <f>Z39/1000</f>
        <v>7.4923999999999991</v>
      </c>
      <c r="AA40" s="223">
        <f>AA39/1000</f>
        <v>143.29235999999997</v>
      </c>
      <c r="AB40" s="224" t="s">
        <v>52</v>
      </c>
      <c r="AC40" s="103"/>
      <c r="AD40" s="118" t="s">
        <v>97</v>
      </c>
      <c r="AE40" s="119"/>
      <c r="AF40" s="120">
        <f>AF39/1000</f>
        <v>95.808440000000004</v>
      </c>
      <c r="AG40" s="120">
        <f t="shared" ref="AG40:AH40" si="28">AG39/1000</f>
        <v>1.9219200000000001</v>
      </c>
      <c r="AH40" s="121">
        <f t="shared" si="28"/>
        <v>45.561999999999998</v>
      </c>
      <c r="AI40" s="108"/>
      <c r="AJ40" s="109" t="s">
        <v>95</v>
      </c>
      <c r="AK40" s="110"/>
      <c r="AL40" s="122">
        <f>AL39/1000</f>
        <v>95.808440000000004</v>
      </c>
      <c r="AM40" s="123">
        <f>AL40/AA40</f>
        <v>0.66862210937135813</v>
      </c>
      <c r="AN40" s="122">
        <f>AN39/1000</f>
        <v>1.9219200000000001</v>
      </c>
      <c r="AO40" s="124">
        <f>AN40/AA40</f>
        <v>1.3412578311921169E-2</v>
      </c>
      <c r="AP40" s="122">
        <f>AP39/1000</f>
        <v>45.561999999999998</v>
      </c>
      <c r="AQ40" s="124">
        <f>AP40/AA40</f>
        <v>0.31796531231672093</v>
      </c>
    </row>
    <row r="41" spans="1:43" ht="33.75" customHeight="1" thickBot="1" x14ac:dyDescent="0.3">
      <c r="A41" s="308" t="s">
        <v>74</v>
      </c>
      <c r="B41" s="309"/>
      <c r="C41" s="114">
        <f>_xlfn.AGGREGATE(1,7,C8:C38)</f>
        <v>208</v>
      </c>
      <c r="D41" s="114">
        <f>_xlfn.AGGREGATE(1,7,D8:D38)</f>
        <v>10.070666666666664</v>
      </c>
      <c r="E41" s="114">
        <f>_xlfn.AGGREGATE(1,7,E8:E38)</f>
        <v>85.903225806451616</v>
      </c>
      <c r="F41" s="222">
        <f>AVERAGEIF(F8:F38,"&gt;0")</f>
        <v>317.41793103448276</v>
      </c>
      <c r="G41" s="114">
        <f>_xlfn.AGGREGATE(1,7,G8:G38)</f>
        <v>655.13548387096773</v>
      </c>
      <c r="H41" s="114">
        <f>_xlfn.AGGREGATE(1,7,H8:H38)</f>
        <v>13.069333333333333</v>
      </c>
      <c r="I41" s="114">
        <f>_xlfn.AGGREGATE(1,7,I8:I38)</f>
        <v>358.06451612903226</v>
      </c>
      <c r="J41" s="222">
        <f>AVERAGEIF(J8:J38,"&gt;0")</f>
        <v>1060.0426666666667</v>
      </c>
      <c r="K41" s="114">
        <f>_xlfn.AGGREGATE(1,7,K8:K38)</f>
        <v>258.2</v>
      </c>
      <c r="L41" s="114">
        <f>_xlfn.AGGREGATE(1,7,L8:L38)</f>
        <v>11.641290322580641</v>
      </c>
      <c r="M41" s="114">
        <f>_xlfn.AGGREGATE(1,7,M8:M38)</f>
        <v>107.14285714285714</v>
      </c>
      <c r="N41" s="222">
        <f>AVERAGEIF(N8:N38,"&gt;0")</f>
        <v>334.09290322580654</v>
      </c>
      <c r="O41" s="114">
        <f>_xlfn.AGGREGATE(1,7,O8:O38)</f>
        <v>925.20129032258058</v>
      </c>
      <c r="P41" s="114">
        <f>_xlfn.AGGREGATE(1,7,P8:P38)</f>
        <v>19.239999999999995</v>
      </c>
      <c r="Q41" s="114">
        <f>_xlfn.AGGREGATE(1,7,Q8:Q38)</f>
        <v>393.54838709677421</v>
      </c>
      <c r="R41" s="222">
        <f>AVERAGEIF(R8:R38,"&gt;0")</f>
        <v>1337.9896774193546</v>
      </c>
      <c r="S41" s="114">
        <f>_xlfn.AGGREGATE(1,7,S8:S38)</f>
        <v>931.86206896551721</v>
      </c>
      <c r="T41" s="114">
        <f>_xlfn.AGGREGATE(1,7,T8:T38)</f>
        <v>5.7777777777777795</v>
      </c>
      <c r="U41" s="114">
        <f>_xlfn.AGGREGATE(1,7,U8:U38)</f>
        <v>659.625</v>
      </c>
      <c r="V41" s="222">
        <f>AVERAGEIF(V8:V38,"&gt;0")</f>
        <v>1789.9583333333333</v>
      </c>
      <c r="W41" s="114">
        <f>_xlfn.AGGREGATE(1,7,W8:W38)</f>
        <v>193.6</v>
      </c>
      <c r="X41" s="114">
        <f>_xlfn.AGGREGATE(1,7,X8:X38)</f>
        <v>5.7379310344827577</v>
      </c>
      <c r="Y41" s="114">
        <f>_xlfn.AGGREGATE(1,7,Y8:Y38)</f>
        <v>50.6</v>
      </c>
      <c r="Z41" s="222">
        <f>AVERAGEIF(Z8:Z38,"&gt;0")</f>
        <v>249.74666666666661</v>
      </c>
      <c r="AA41" s="223">
        <f>AVERAGEIF(AA8:AA38,"&gt;0")</f>
        <v>4622.3341935483868</v>
      </c>
      <c r="AB41" s="225" t="s">
        <v>75</v>
      </c>
      <c r="AC41" s="103"/>
      <c r="AD41" s="118" t="s">
        <v>98</v>
      </c>
      <c r="AE41" s="119"/>
      <c r="AF41" s="125">
        <f>AVERAGEIF(AF8:AF38,"&gt;0")</f>
        <v>3090.5948387096773</v>
      </c>
      <c r="AG41" s="125">
        <f>AVERAGEIF(AG8:AG38,"&gt;0")</f>
        <v>61.997419354838712</v>
      </c>
      <c r="AH41" s="125">
        <f>AVERAGEIF(AH8:AH38,"&gt;0")</f>
        <v>1518.7333333333333</v>
      </c>
      <c r="AI41" s="108"/>
      <c r="AJ41" s="109" t="s">
        <v>99</v>
      </c>
      <c r="AK41" s="110"/>
      <c r="AL41" s="125">
        <f>AVERAGEIF(AL8:AL38,"&gt;0")</f>
        <v>3090.5948387096773</v>
      </c>
      <c r="AM41" s="126" t="s">
        <v>64</v>
      </c>
      <c r="AN41" s="125">
        <f>AVERAGEIF(AN8:AN38,"&gt;0")</f>
        <v>61.997419354838712</v>
      </c>
      <c r="AO41" s="124" t="s">
        <v>64</v>
      </c>
      <c r="AP41" s="125">
        <f>AVERAGEIF(AP8:AP38,"&gt;0")</f>
        <v>1518.7333333333333</v>
      </c>
      <c r="AQ41" s="124" t="s">
        <v>64</v>
      </c>
    </row>
    <row r="42" spans="1:43" x14ac:dyDescent="0.25">
      <c r="J42" s="89" t="s">
        <v>61</v>
      </c>
    </row>
    <row r="44" spans="1:43" x14ac:dyDescent="0.25">
      <c r="A44" s="128" t="s">
        <v>61</v>
      </c>
      <c r="C44" s="130" t="s">
        <v>50</v>
      </c>
      <c r="D44" s="131"/>
    </row>
    <row r="45" spans="1:43" x14ac:dyDescent="0.25">
      <c r="C45" s="132"/>
      <c r="D45" s="131" t="s">
        <v>133</v>
      </c>
    </row>
    <row r="46" spans="1:43" x14ac:dyDescent="0.25">
      <c r="C46" s="133"/>
      <c r="D46" s="131" t="s">
        <v>100</v>
      </c>
    </row>
    <row r="47" spans="1:43" x14ac:dyDescent="0.25">
      <c r="C47" s="134"/>
      <c r="D47" s="131" t="s">
        <v>100</v>
      </c>
    </row>
    <row r="48" spans="1:43" x14ac:dyDescent="0.25">
      <c r="C48" s="135"/>
      <c r="D48" s="131" t="s">
        <v>100</v>
      </c>
    </row>
    <row r="49" spans="3:5" x14ac:dyDescent="0.25">
      <c r="C49" s="136"/>
      <c r="D49" s="131" t="s">
        <v>100</v>
      </c>
    </row>
    <row r="50" spans="3:5" x14ac:dyDescent="0.25">
      <c r="C50" s="137"/>
      <c r="D50" s="131" t="s">
        <v>100</v>
      </c>
    </row>
    <row r="51" spans="3:5" x14ac:dyDescent="0.25">
      <c r="E51" s="129" t="s">
        <v>61</v>
      </c>
    </row>
  </sheetData>
  <sheetProtection algorithmName="SHA-512" hashValue="A1m5hEqPlV2HPhwRhe7MAthCbvMzPnYfLah1aMJ5I304453aMy1DllIXMH80bWyl2MzY98UoCvAPmLR6tMndXg==" saltValue="5Hb/kQX3EIZU0BtguBaoeQ==" spinCount="100000" sheet="1" objects="1" scenarios="1" formatColumns="0" formatRows="0"/>
  <mergeCells count="14">
    <mergeCell ref="A41:B41"/>
    <mergeCell ref="W6:Y6"/>
    <mergeCell ref="A4:A7"/>
    <mergeCell ref="B4:B7"/>
    <mergeCell ref="A39:B39"/>
    <mergeCell ref="A40:B40"/>
    <mergeCell ref="AJ6:AQ6"/>
    <mergeCell ref="AA3:AA7"/>
    <mergeCell ref="AB3:AB7"/>
    <mergeCell ref="C6:E6"/>
    <mergeCell ref="G6:I6"/>
    <mergeCell ref="K6:M6"/>
    <mergeCell ref="O6:Q6"/>
    <mergeCell ref="S6:U6"/>
  </mergeCells>
  <printOptions horizontalCentered="1"/>
  <pageMargins left="0.19685039370078741" right="0.19685039370078741" top="0.39370078740157483" bottom="0.39370078740157483" header="0.11811023622047245" footer="0.11811023622047245"/>
  <pageSetup paperSize="9" scale="63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BDFBBD-587D-42DA-9959-585F7BBE375F}">
  <sheetPr>
    <tabColor rgb="FFCCFFFF"/>
    <pageSetUpPr fitToPage="1"/>
  </sheetPr>
  <dimension ref="A1:AQ51"/>
  <sheetViews>
    <sheetView showGridLines="0" view="pageBreakPreview" zoomScale="78" zoomScaleNormal="75" zoomScaleSheetLayoutView="80" workbookViewId="0">
      <pane xSplit="2" ySplit="7" topLeftCell="C30" activePane="bottomRight" state="frozen"/>
      <selection activeCell="H31" sqref="H31"/>
      <selection pane="topRight" activeCell="H31" sqref="H31"/>
      <selection pane="bottomLeft" activeCell="H31" sqref="H31"/>
      <selection pane="bottomRight" activeCell="X9" activeCellId="5" sqref="D9:D37 H9:H38 L9:L38 P9:P38 T9:T38 X9:X38"/>
    </sheetView>
  </sheetViews>
  <sheetFormatPr defaultColWidth="9.140625" defaultRowHeight="15" x14ac:dyDescent="0.25"/>
  <cols>
    <col min="1" max="1" width="11.42578125" style="128" customWidth="1"/>
    <col min="2" max="2" width="7.28515625" style="128" customWidth="1"/>
    <col min="3" max="5" width="8.140625" style="129" customWidth="1"/>
    <col min="6" max="6" width="8.140625" style="89" customWidth="1"/>
    <col min="7" max="9" width="8.140625" style="129" customWidth="1"/>
    <col min="10" max="10" width="8.140625" style="89" customWidth="1"/>
    <col min="11" max="13" width="8.140625" style="129" customWidth="1"/>
    <col min="14" max="14" width="8.140625" style="89" customWidth="1"/>
    <col min="15" max="17" width="8.140625" style="129" customWidth="1"/>
    <col min="18" max="18" width="8.140625" style="89" customWidth="1"/>
    <col min="19" max="21" width="8.140625" style="129" customWidth="1"/>
    <col min="22" max="22" width="8.140625" style="89" customWidth="1"/>
    <col min="23" max="25" width="8.140625" style="129" customWidth="1"/>
    <col min="26" max="26" width="8.140625" style="89" customWidth="1"/>
    <col min="27" max="27" width="10.42578125" style="91" customWidth="1"/>
    <col min="28" max="28" width="11.85546875" style="98" customWidth="1"/>
    <col min="29" max="29" width="8.5703125" style="98" hidden="1" customWidth="1"/>
    <col min="30" max="30" width="14.140625" style="129" hidden="1" customWidth="1"/>
    <col min="31" max="31" width="7.5703125" style="129" hidden="1" customWidth="1"/>
    <col min="32" max="32" width="11.7109375" style="129" hidden="1" customWidth="1"/>
    <col min="33" max="34" width="10.7109375" style="129" hidden="1" customWidth="1"/>
    <col min="35" max="35" width="8.5703125" style="129" hidden="1" customWidth="1"/>
    <col min="36" max="36" width="15.85546875" style="129" hidden="1" customWidth="1"/>
    <col min="37" max="37" width="7.5703125" style="129" hidden="1" customWidth="1"/>
    <col min="38" max="38" width="7.7109375" style="129" hidden="1" customWidth="1"/>
    <col min="39" max="39" width="11.5703125" style="129" hidden="1" customWidth="1"/>
    <col min="40" max="40" width="6.5703125" style="129" hidden="1" customWidth="1"/>
    <col min="41" max="41" width="11.85546875" style="129" hidden="1" customWidth="1"/>
    <col min="42" max="42" width="6.5703125" style="129" hidden="1" customWidth="1"/>
    <col min="43" max="43" width="11.85546875" style="129" hidden="1" customWidth="1"/>
    <col min="44" max="16384" width="9.140625" style="98"/>
  </cols>
  <sheetData>
    <row r="1" spans="1:43" x14ac:dyDescent="0.25">
      <c r="A1" s="226" t="s">
        <v>116</v>
      </c>
      <c r="B1" s="227" t="str">
        <f>'Rekap Neraca Pengelolaan Sampah'!C3</f>
        <v>PT PELINDO DAYA SEJAHTERA</v>
      </c>
    </row>
    <row r="2" spans="1:43" ht="15.75" thickBot="1" x14ac:dyDescent="0.3">
      <c r="A2" s="226" t="s">
        <v>42</v>
      </c>
      <c r="B2" s="227">
        <f>'Rekap Neraca Pengelolaan Sampah'!G2</f>
        <v>2025</v>
      </c>
    </row>
    <row r="3" spans="1:43" ht="15.75" thickBot="1" x14ac:dyDescent="0.3">
      <c r="A3" s="160" t="s">
        <v>2</v>
      </c>
      <c r="B3" s="82" t="s">
        <v>69</v>
      </c>
      <c r="C3" s="160" t="s">
        <v>36</v>
      </c>
      <c r="D3" s="90"/>
      <c r="E3" s="90"/>
      <c r="F3" s="82"/>
      <c r="G3" s="160" t="s">
        <v>36</v>
      </c>
      <c r="H3" s="90"/>
      <c r="I3" s="90"/>
      <c r="J3" s="90"/>
      <c r="K3" s="160" t="s">
        <v>36</v>
      </c>
      <c r="L3" s="90"/>
      <c r="M3" s="90"/>
      <c r="N3" s="90"/>
      <c r="O3" s="160" t="s">
        <v>36</v>
      </c>
      <c r="P3" s="90"/>
      <c r="Q3" s="90"/>
      <c r="R3" s="90"/>
      <c r="S3" s="160" t="s">
        <v>36</v>
      </c>
      <c r="T3" s="90"/>
      <c r="U3" s="90"/>
      <c r="V3" s="90"/>
      <c r="W3" s="160" t="s">
        <v>36</v>
      </c>
      <c r="X3" s="90"/>
      <c r="Y3" s="90"/>
      <c r="Z3" s="90"/>
      <c r="AA3" s="297" t="s">
        <v>125</v>
      </c>
      <c r="AB3" s="300" t="s">
        <v>57</v>
      </c>
      <c r="AD3" s="161" t="s">
        <v>54</v>
      </c>
      <c r="AE3" s="162"/>
      <c r="AF3" s="162"/>
      <c r="AG3" s="162"/>
      <c r="AH3" s="163"/>
      <c r="AI3" s="91"/>
      <c r="AJ3" s="164" t="s">
        <v>56</v>
      </c>
      <c r="AK3" s="165"/>
      <c r="AL3" s="165"/>
      <c r="AM3" s="165"/>
      <c r="AN3" s="165"/>
      <c r="AO3" s="165"/>
      <c r="AP3" s="165"/>
      <c r="AQ3" s="165"/>
    </row>
    <row r="4" spans="1:43" ht="15" customHeight="1" x14ac:dyDescent="0.25">
      <c r="A4" s="310" t="s">
        <v>0</v>
      </c>
      <c r="B4" s="313" t="s">
        <v>87</v>
      </c>
      <c r="C4" s="98" t="s">
        <v>37</v>
      </c>
      <c r="D4" s="98"/>
      <c r="E4" s="98"/>
      <c r="F4" s="83"/>
      <c r="G4" s="166" t="s">
        <v>37</v>
      </c>
      <c r="H4" s="98"/>
      <c r="I4" s="98"/>
      <c r="J4" s="91"/>
      <c r="K4" s="166" t="s">
        <v>37</v>
      </c>
      <c r="L4" s="98"/>
      <c r="M4" s="98"/>
      <c r="N4" s="91"/>
      <c r="O4" s="166" t="s">
        <v>37</v>
      </c>
      <c r="P4" s="98"/>
      <c r="Q4" s="98"/>
      <c r="R4" s="91"/>
      <c r="S4" s="166" t="s">
        <v>37</v>
      </c>
      <c r="T4" s="98"/>
      <c r="U4" s="98"/>
      <c r="V4" s="91"/>
      <c r="W4" s="166" t="s">
        <v>37</v>
      </c>
      <c r="X4" s="98"/>
      <c r="Y4" s="98"/>
      <c r="Z4" s="91"/>
      <c r="AA4" s="298"/>
      <c r="AB4" s="301"/>
      <c r="AD4" s="167" t="s">
        <v>55</v>
      </c>
      <c r="AE4" s="168"/>
      <c r="AF4" s="168"/>
      <c r="AG4" s="169"/>
      <c r="AH4" s="170"/>
      <c r="AI4" s="98"/>
      <c r="AJ4" s="171" t="s">
        <v>126</v>
      </c>
      <c r="AK4" s="172"/>
      <c r="AL4" s="172"/>
      <c r="AM4" s="173"/>
      <c r="AN4" s="173"/>
      <c r="AO4" s="173"/>
      <c r="AP4" s="173"/>
      <c r="AQ4" s="173"/>
    </row>
    <row r="5" spans="1:43" ht="15.75" thickBot="1" x14ac:dyDescent="0.3">
      <c r="A5" s="311"/>
      <c r="B5" s="314"/>
      <c r="C5" s="91" t="s">
        <v>3</v>
      </c>
      <c r="D5" s="91"/>
      <c r="E5" s="91"/>
      <c r="F5" s="83"/>
      <c r="G5" s="174" t="s">
        <v>3</v>
      </c>
      <c r="H5" s="91"/>
      <c r="I5" s="91"/>
      <c r="J5" s="91"/>
      <c r="K5" s="174" t="s">
        <v>3</v>
      </c>
      <c r="L5" s="91"/>
      <c r="M5" s="91"/>
      <c r="N5" s="91"/>
      <c r="O5" s="174" t="s">
        <v>3</v>
      </c>
      <c r="P5" s="91"/>
      <c r="Q5" s="91"/>
      <c r="R5" s="91"/>
      <c r="S5" s="174" t="s">
        <v>3</v>
      </c>
      <c r="T5" s="91"/>
      <c r="U5" s="91"/>
      <c r="V5" s="91"/>
      <c r="W5" s="174" t="s">
        <v>3</v>
      </c>
      <c r="X5" s="91"/>
      <c r="Y5" s="91"/>
      <c r="Z5" s="91"/>
      <c r="AA5" s="298"/>
      <c r="AB5" s="301"/>
      <c r="AD5" s="175" t="s">
        <v>37</v>
      </c>
      <c r="AE5" s="169"/>
      <c r="AF5" s="169"/>
      <c r="AG5" s="168"/>
      <c r="AH5" s="176"/>
      <c r="AI5" s="91"/>
      <c r="AJ5" s="177" t="s">
        <v>91</v>
      </c>
      <c r="AK5" s="178" t="str">
        <f>B3</f>
        <v>Januari</v>
      </c>
      <c r="AL5" s="178" t="s">
        <v>63</v>
      </c>
      <c r="AM5" s="178" t="str">
        <f>B4</f>
        <v>Tanggal</v>
      </c>
      <c r="AN5" s="179"/>
      <c r="AO5" s="179"/>
      <c r="AP5" s="179"/>
      <c r="AQ5" s="179"/>
    </row>
    <row r="6" spans="1:43" ht="30.75" customHeight="1" thickBot="1" x14ac:dyDescent="0.3">
      <c r="A6" s="311"/>
      <c r="B6" s="314"/>
      <c r="C6" s="316" t="s">
        <v>109</v>
      </c>
      <c r="D6" s="303"/>
      <c r="E6" s="303"/>
      <c r="F6" s="84"/>
      <c r="G6" s="304" t="s">
        <v>123</v>
      </c>
      <c r="H6" s="305"/>
      <c r="I6" s="305"/>
      <c r="J6" s="92"/>
      <c r="K6" s="306" t="s">
        <v>111</v>
      </c>
      <c r="L6" s="307"/>
      <c r="M6" s="307"/>
      <c r="N6" s="93"/>
      <c r="O6" s="306" t="s">
        <v>115</v>
      </c>
      <c r="P6" s="307"/>
      <c r="Q6" s="307"/>
      <c r="R6" s="93"/>
      <c r="S6" s="304" t="s">
        <v>124</v>
      </c>
      <c r="T6" s="305"/>
      <c r="U6" s="305"/>
      <c r="V6" s="92"/>
      <c r="W6" s="304" t="s">
        <v>84</v>
      </c>
      <c r="X6" s="305"/>
      <c r="Y6" s="305"/>
      <c r="Z6" s="93"/>
      <c r="AA6" s="298"/>
      <c r="AB6" s="301"/>
      <c r="AD6" s="180" t="s">
        <v>91</v>
      </c>
      <c r="AE6" s="181" t="str">
        <f>B3</f>
        <v>Januari</v>
      </c>
      <c r="AF6" s="181" t="s">
        <v>63</v>
      </c>
      <c r="AG6" s="169" t="str">
        <f>B4</f>
        <v>Tanggal</v>
      </c>
      <c r="AH6" s="170"/>
      <c r="AI6" s="98"/>
      <c r="AJ6" s="296" t="s">
        <v>93</v>
      </c>
      <c r="AK6" s="296"/>
      <c r="AL6" s="296"/>
      <c r="AM6" s="296"/>
      <c r="AN6" s="296"/>
      <c r="AO6" s="296"/>
      <c r="AP6" s="296"/>
      <c r="AQ6" s="296"/>
    </row>
    <row r="7" spans="1:43" s="191" customFormat="1" ht="120.75" customHeight="1" thickBot="1" x14ac:dyDescent="0.3">
      <c r="A7" s="312"/>
      <c r="B7" s="315"/>
      <c r="C7" s="184" t="s">
        <v>85</v>
      </c>
      <c r="D7" s="182" t="s">
        <v>108</v>
      </c>
      <c r="E7" s="183" t="s">
        <v>145</v>
      </c>
      <c r="F7" s="85" t="s">
        <v>131</v>
      </c>
      <c r="G7" s="184" t="s">
        <v>85</v>
      </c>
      <c r="H7" s="182" t="s">
        <v>108</v>
      </c>
      <c r="I7" s="183" t="s">
        <v>145</v>
      </c>
      <c r="J7" s="85" t="s">
        <v>131</v>
      </c>
      <c r="K7" s="184" t="s">
        <v>85</v>
      </c>
      <c r="L7" s="182" t="s">
        <v>108</v>
      </c>
      <c r="M7" s="183" t="s">
        <v>145</v>
      </c>
      <c r="N7" s="85" t="s">
        <v>131</v>
      </c>
      <c r="O7" s="184" t="s">
        <v>85</v>
      </c>
      <c r="P7" s="182" t="s">
        <v>108</v>
      </c>
      <c r="Q7" s="183" t="s">
        <v>145</v>
      </c>
      <c r="R7" s="85" t="s">
        <v>131</v>
      </c>
      <c r="S7" s="184" t="s">
        <v>85</v>
      </c>
      <c r="T7" s="182" t="s">
        <v>108</v>
      </c>
      <c r="U7" s="183" t="s">
        <v>145</v>
      </c>
      <c r="V7" s="85" t="s">
        <v>131</v>
      </c>
      <c r="W7" s="184" t="s">
        <v>85</v>
      </c>
      <c r="X7" s="182" t="s">
        <v>108</v>
      </c>
      <c r="Y7" s="183" t="s">
        <v>145</v>
      </c>
      <c r="Z7" s="85" t="s">
        <v>131</v>
      </c>
      <c r="AA7" s="299"/>
      <c r="AB7" s="302"/>
      <c r="AC7" s="185"/>
      <c r="AD7" s="186" t="s">
        <v>90</v>
      </c>
      <c r="AE7" s="187" t="s">
        <v>87</v>
      </c>
      <c r="AF7" s="188" t="s">
        <v>92</v>
      </c>
      <c r="AG7" s="188" t="s">
        <v>110</v>
      </c>
      <c r="AH7" s="188" t="s">
        <v>101</v>
      </c>
      <c r="AI7" s="185"/>
      <c r="AJ7" s="189" t="s">
        <v>90</v>
      </c>
      <c r="AK7" s="189" t="s">
        <v>87</v>
      </c>
      <c r="AL7" s="190" t="s">
        <v>40</v>
      </c>
      <c r="AM7" s="190" t="s">
        <v>60</v>
      </c>
      <c r="AN7" s="190" t="s">
        <v>38</v>
      </c>
      <c r="AO7" s="190" t="s">
        <v>39</v>
      </c>
      <c r="AP7" s="190" t="s">
        <v>103</v>
      </c>
      <c r="AQ7" s="190" t="s">
        <v>102</v>
      </c>
    </row>
    <row r="8" spans="1:43" x14ac:dyDescent="0.25">
      <c r="A8" s="154">
        <v>1</v>
      </c>
      <c r="B8" s="155" t="s">
        <v>4</v>
      </c>
      <c r="C8" s="257"/>
      <c r="D8" s="258"/>
      <c r="E8" s="258">
        <v>0</v>
      </c>
      <c r="F8" s="86">
        <f t="shared" ref="F8:F38" si="0">SUM(C8:E8)</f>
        <v>0</v>
      </c>
      <c r="G8" s="257"/>
      <c r="H8" s="258"/>
      <c r="I8" s="258">
        <v>0</v>
      </c>
      <c r="J8" s="86">
        <f t="shared" ref="J8:J38" si="1">SUM(G8:I8)</f>
        <v>0</v>
      </c>
      <c r="K8" s="257"/>
      <c r="L8" s="258"/>
      <c r="M8" s="258"/>
      <c r="N8" s="86">
        <f t="shared" ref="N8:N38" si="2">SUM(K8:M8)</f>
        <v>0</v>
      </c>
      <c r="O8" s="257"/>
      <c r="P8" s="258"/>
      <c r="Q8" s="258">
        <f>+[5]Januari!Q8</f>
        <v>0</v>
      </c>
      <c r="R8" s="86">
        <f t="shared" ref="R8:R38" si="3">SUM(O8:Q8)</f>
        <v>0</v>
      </c>
      <c r="S8" s="257">
        <v>0</v>
      </c>
      <c r="T8" s="258"/>
      <c r="U8" s="258"/>
      <c r="V8" s="86">
        <f t="shared" ref="V8:V38" si="4">SUM(S8:U8)</f>
        <v>0</v>
      </c>
      <c r="W8" s="257"/>
      <c r="X8" s="258"/>
      <c r="Y8" s="258">
        <f>+[3]Januari!AX6</f>
        <v>0</v>
      </c>
      <c r="Z8" s="86">
        <f t="shared" ref="Z8:Z38" si="5">SUM(W8:Y8)</f>
        <v>0</v>
      </c>
      <c r="AA8" s="94">
        <f>(F8+J8+N8+R8+V8+Z8)</f>
        <v>0</v>
      </c>
      <c r="AB8" s="95" t="s">
        <v>53</v>
      </c>
      <c r="AC8" s="138"/>
      <c r="AD8" s="139">
        <v>1</v>
      </c>
      <c r="AE8" s="140" t="s">
        <v>4</v>
      </c>
      <c r="AF8" s="141">
        <f t="shared" ref="AF8:AG16" si="6">(C8+G8+K8+O8+S8+W8)</f>
        <v>0</v>
      </c>
      <c r="AG8" s="141">
        <f t="shared" si="6"/>
        <v>0</v>
      </c>
      <c r="AH8" s="141">
        <f t="shared" ref="AH8:AH16" si="7">(E8+I8+M8+Q8++U8+Y8)</f>
        <v>0</v>
      </c>
      <c r="AI8" s="108"/>
      <c r="AJ8" s="142">
        <v>1</v>
      </c>
      <c r="AK8" s="143" t="s">
        <v>4</v>
      </c>
      <c r="AL8" s="144">
        <f t="shared" ref="AL8:AL38" si="8">AF8</f>
        <v>0</v>
      </c>
      <c r="AM8" s="145" t="e">
        <f t="shared" ref="AM8:AM38" si="9">AL8/AA8</f>
        <v>#DIV/0!</v>
      </c>
      <c r="AN8" s="144">
        <f>AG8</f>
        <v>0</v>
      </c>
      <c r="AO8" s="145" t="e">
        <f t="shared" ref="AO8:AO38" si="10">AN8/AA8</f>
        <v>#DIV/0!</v>
      </c>
      <c r="AP8" s="144">
        <f>AH8</f>
        <v>0</v>
      </c>
      <c r="AQ8" s="145" t="e">
        <f t="shared" ref="AQ8:AQ38" si="11">AP8/AA8</f>
        <v>#DIV/0!</v>
      </c>
    </row>
    <row r="9" spans="1:43" x14ac:dyDescent="0.25">
      <c r="A9" s="156">
        <v>2</v>
      </c>
      <c r="B9" s="157" t="s">
        <v>5</v>
      </c>
      <c r="C9" s="266">
        <v>240</v>
      </c>
      <c r="D9" s="266">
        <f>(((3.8+1)*1.3)*2)*2</f>
        <v>24.96</v>
      </c>
      <c r="E9" s="260">
        <v>100</v>
      </c>
      <c r="F9" s="87">
        <f t="shared" si="0"/>
        <v>364.96</v>
      </c>
      <c r="G9" s="266">
        <v>427.6</v>
      </c>
      <c r="H9" s="266">
        <v>27.040000000000003</v>
      </c>
      <c r="I9" s="260">
        <v>303</v>
      </c>
      <c r="J9" s="87">
        <f t="shared" si="1"/>
        <v>757.6400000000001</v>
      </c>
      <c r="K9" s="266">
        <v>18</v>
      </c>
      <c r="L9" s="266">
        <v>16.64</v>
      </c>
      <c r="M9" s="260">
        <v>110</v>
      </c>
      <c r="N9" s="87">
        <f t="shared" si="2"/>
        <v>144.63999999999999</v>
      </c>
      <c r="O9" s="266">
        <v>94.4</v>
      </c>
      <c r="P9" s="266">
        <f>(((5+1)*1.3)*2)*2</f>
        <v>31.200000000000003</v>
      </c>
      <c r="Q9" s="260">
        <f>+[5]Januari!Q9</f>
        <v>550</v>
      </c>
      <c r="R9" s="87">
        <f t="shared" si="3"/>
        <v>675.6</v>
      </c>
      <c r="S9" s="259">
        <v>0</v>
      </c>
      <c r="T9" s="266">
        <f>(((3+3)*1.3)*2)*2</f>
        <v>31.200000000000003</v>
      </c>
      <c r="U9" s="260">
        <f>30+90</f>
        <v>120</v>
      </c>
      <c r="V9" s="87">
        <f t="shared" si="4"/>
        <v>151.19999999999999</v>
      </c>
      <c r="W9" s="266">
        <v>100</v>
      </c>
      <c r="X9" s="266">
        <f>(((3+1)*1.3)*2)*2</f>
        <v>20.8</v>
      </c>
      <c r="Y9" s="260">
        <f>50+[3]Januari!AX7</f>
        <v>90</v>
      </c>
      <c r="Z9" s="87">
        <f t="shared" si="5"/>
        <v>210.8</v>
      </c>
      <c r="AA9" s="94">
        <f t="shared" ref="AA9:AA38" si="12">(F9+J9+N9+R9+V9+Z9)</f>
        <v>2304.84</v>
      </c>
      <c r="AB9" s="96" t="s">
        <v>53</v>
      </c>
      <c r="AC9" s="138"/>
      <c r="AD9" s="146">
        <v>2</v>
      </c>
      <c r="AE9" s="147" t="s">
        <v>5</v>
      </c>
      <c r="AF9" s="141">
        <f t="shared" si="6"/>
        <v>880</v>
      </c>
      <c r="AG9" s="141">
        <f t="shared" si="6"/>
        <v>151.84000000000003</v>
      </c>
      <c r="AH9" s="141">
        <f t="shared" si="7"/>
        <v>1273</v>
      </c>
      <c r="AI9" s="108"/>
      <c r="AJ9" s="148">
        <v>2</v>
      </c>
      <c r="AK9" s="149" t="s">
        <v>5</v>
      </c>
      <c r="AL9" s="144">
        <f t="shared" si="8"/>
        <v>880</v>
      </c>
      <c r="AM9" s="145">
        <f t="shared" si="9"/>
        <v>0.38180524461567827</v>
      </c>
      <c r="AN9" s="144">
        <f t="shared" ref="AN9:AN38" si="13">AG9</f>
        <v>151.84000000000003</v>
      </c>
      <c r="AO9" s="145">
        <f t="shared" si="10"/>
        <v>6.5878759480050689E-2</v>
      </c>
      <c r="AP9" s="144">
        <f t="shared" ref="AP9:AP38" si="14">AH9</f>
        <v>1273</v>
      </c>
      <c r="AQ9" s="145">
        <f t="shared" si="11"/>
        <v>0.55231599590427094</v>
      </c>
    </row>
    <row r="10" spans="1:43" x14ac:dyDescent="0.25">
      <c r="A10" s="156">
        <v>3</v>
      </c>
      <c r="B10" s="157" t="s">
        <v>6</v>
      </c>
      <c r="C10" s="266">
        <v>280</v>
      </c>
      <c r="D10" s="266">
        <v>23.400000000000002</v>
      </c>
      <c r="E10" s="260">
        <v>230</v>
      </c>
      <c r="F10" s="87">
        <f t="shared" si="0"/>
        <v>533.4</v>
      </c>
      <c r="G10" s="266">
        <v>272.39999999999998</v>
      </c>
      <c r="H10" s="266">
        <f>(((4.7+2)*1.3)*2)*2</f>
        <v>34.840000000000003</v>
      </c>
      <c r="I10" s="260">
        <v>305</v>
      </c>
      <c r="J10" s="87">
        <f t="shared" si="1"/>
        <v>612.24</v>
      </c>
      <c r="K10" s="266">
        <v>120</v>
      </c>
      <c r="L10" s="266">
        <v>6.24</v>
      </c>
      <c r="M10" s="260">
        <v>90</v>
      </c>
      <c r="N10" s="87">
        <f t="shared" si="2"/>
        <v>216.24</v>
      </c>
      <c r="O10" s="266">
        <v>91.6</v>
      </c>
      <c r="P10" s="266">
        <v>16.64</v>
      </c>
      <c r="Q10" s="260">
        <f>+[5]Januari!Q10</f>
        <v>320</v>
      </c>
      <c r="R10" s="87">
        <f t="shared" si="3"/>
        <v>428.24</v>
      </c>
      <c r="S10" s="259">
        <v>0</v>
      </c>
      <c r="T10" s="266">
        <v>15.600000000000001</v>
      </c>
      <c r="U10" s="260">
        <f>60+100</f>
        <v>160</v>
      </c>
      <c r="V10" s="87">
        <f t="shared" si="4"/>
        <v>175.6</v>
      </c>
      <c r="W10" s="266">
        <v>100</v>
      </c>
      <c r="X10" s="266">
        <v>15.600000000000001</v>
      </c>
      <c r="Y10" s="260">
        <f>50+[3]Januari!AX8</f>
        <v>100</v>
      </c>
      <c r="Z10" s="87">
        <f t="shared" si="5"/>
        <v>215.6</v>
      </c>
      <c r="AA10" s="94">
        <f t="shared" si="12"/>
        <v>2181.3199999999997</v>
      </c>
      <c r="AB10" s="96" t="s">
        <v>53</v>
      </c>
      <c r="AC10" s="138"/>
      <c r="AD10" s="146">
        <v>3</v>
      </c>
      <c r="AE10" s="147" t="s">
        <v>6</v>
      </c>
      <c r="AF10" s="141">
        <f t="shared" si="6"/>
        <v>864</v>
      </c>
      <c r="AG10" s="141">
        <f t="shared" si="6"/>
        <v>112.32</v>
      </c>
      <c r="AH10" s="141">
        <f t="shared" si="7"/>
        <v>1205</v>
      </c>
      <c r="AI10" s="108"/>
      <c r="AJ10" s="148">
        <v>3</v>
      </c>
      <c r="AK10" s="149" t="s">
        <v>6</v>
      </c>
      <c r="AL10" s="144">
        <f t="shared" si="8"/>
        <v>864</v>
      </c>
      <c r="AM10" s="145">
        <f t="shared" si="9"/>
        <v>0.39609044065061527</v>
      </c>
      <c r="AN10" s="144">
        <f t="shared" si="13"/>
        <v>112.32</v>
      </c>
      <c r="AO10" s="145">
        <f t="shared" si="10"/>
        <v>5.1491757284579984E-2</v>
      </c>
      <c r="AP10" s="144">
        <f t="shared" si="14"/>
        <v>1205</v>
      </c>
      <c r="AQ10" s="145">
        <f t="shared" si="11"/>
        <v>0.55241780206480484</v>
      </c>
    </row>
    <row r="11" spans="1:43" x14ac:dyDescent="0.25">
      <c r="A11" s="156">
        <v>4</v>
      </c>
      <c r="B11" s="157" t="s">
        <v>7</v>
      </c>
      <c r="C11" s="266">
        <v>200</v>
      </c>
      <c r="D11" s="266">
        <v>0</v>
      </c>
      <c r="E11" s="260">
        <v>120</v>
      </c>
      <c r="F11" s="87">
        <f t="shared" si="0"/>
        <v>320</v>
      </c>
      <c r="G11" s="266">
        <v>280</v>
      </c>
      <c r="H11" s="266">
        <v>0</v>
      </c>
      <c r="I11" s="260">
        <v>310</v>
      </c>
      <c r="J11" s="87">
        <f t="shared" si="1"/>
        <v>590</v>
      </c>
      <c r="K11" s="266">
        <v>0</v>
      </c>
      <c r="L11" s="266">
        <v>4.6800000000000006</v>
      </c>
      <c r="M11" s="260">
        <v>110</v>
      </c>
      <c r="N11" s="87">
        <f t="shared" si="2"/>
        <v>114.68</v>
      </c>
      <c r="O11" s="266">
        <v>14</v>
      </c>
      <c r="P11" s="266">
        <f>(((1.1+1)*1.3)*2)*2</f>
        <v>10.920000000000002</v>
      </c>
      <c r="Q11" s="260">
        <f>+[5]Januari!Q11</f>
        <v>270</v>
      </c>
      <c r="R11" s="87">
        <f t="shared" si="3"/>
        <v>294.92</v>
      </c>
      <c r="S11" s="259">
        <v>0</v>
      </c>
      <c r="T11" s="266">
        <v>5.2</v>
      </c>
      <c r="U11" s="260">
        <v>50</v>
      </c>
      <c r="V11" s="87">
        <f t="shared" si="4"/>
        <v>55.2</v>
      </c>
      <c r="W11" s="266">
        <v>0</v>
      </c>
      <c r="X11" s="266">
        <v>0</v>
      </c>
      <c r="Y11" s="260">
        <f>50+[3]Januari!AX9</f>
        <v>50</v>
      </c>
      <c r="Z11" s="87">
        <f t="shared" si="5"/>
        <v>50</v>
      </c>
      <c r="AA11" s="94">
        <f t="shared" si="12"/>
        <v>1424.8000000000002</v>
      </c>
      <c r="AB11" s="96" t="s">
        <v>53</v>
      </c>
      <c r="AC11" s="138"/>
      <c r="AD11" s="146">
        <v>4</v>
      </c>
      <c r="AE11" s="147" t="s">
        <v>7</v>
      </c>
      <c r="AF11" s="141">
        <f t="shared" si="6"/>
        <v>494</v>
      </c>
      <c r="AG11" s="141">
        <f t="shared" si="6"/>
        <v>20.8</v>
      </c>
      <c r="AH11" s="141">
        <f t="shared" si="7"/>
        <v>910</v>
      </c>
      <c r="AI11" s="108"/>
      <c r="AJ11" s="148">
        <v>4</v>
      </c>
      <c r="AK11" s="149" t="s">
        <v>7</v>
      </c>
      <c r="AL11" s="144">
        <f t="shared" si="8"/>
        <v>494</v>
      </c>
      <c r="AM11" s="145">
        <f t="shared" si="9"/>
        <v>0.34671532846715325</v>
      </c>
      <c r="AN11" s="144">
        <f t="shared" si="13"/>
        <v>20.8</v>
      </c>
      <c r="AO11" s="145">
        <f t="shared" si="10"/>
        <v>1.4598540145985399E-2</v>
      </c>
      <c r="AP11" s="144">
        <f t="shared" si="14"/>
        <v>910</v>
      </c>
      <c r="AQ11" s="145">
        <f t="shared" si="11"/>
        <v>0.63868613138686126</v>
      </c>
    </row>
    <row r="12" spans="1:43" x14ac:dyDescent="0.25">
      <c r="A12" s="156">
        <v>5</v>
      </c>
      <c r="B12" s="157" t="s">
        <v>8</v>
      </c>
      <c r="C12" s="266">
        <v>0</v>
      </c>
      <c r="D12" s="266">
        <v>0</v>
      </c>
      <c r="E12" s="260">
        <v>0</v>
      </c>
      <c r="F12" s="87">
        <f t="shared" si="0"/>
        <v>0</v>
      </c>
      <c r="G12" s="266">
        <v>240</v>
      </c>
      <c r="H12" s="266">
        <v>5.2</v>
      </c>
      <c r="I12" s="260">
        <v>290</v>
      </c>
      <c r="J12" s="87">
        <f t="shared" si="1"/>
        <v>535.20000000000005</v>
      </c>
      <c r="K12" s="266">
        <v>0</v>
      </c>
      <c r="L12" s="266">
        <v>7.2799999999999994</v>
      </c>
      <c r="M12" s="260"/>
      <c r="N12" s="87">
        <f t="shared" si="2"/>
        <v>7.2799999999999994</v>
      </c>
      <c r="O12" s="266">
        <v>11.2</v>
      </c>
      <c r="P12" s="266">
        <v>17.16</v>
      </c>
      <c r="Q12" s="260">
        <f>+[5]Januari!Q12</f>
        <v>0</v>
      </c>
      <c r="R12" s="87">
        <f t="shared" si="3"/>
        <v>28.36</v>
      </c>
      <c r="S12" s="259">
        <v>0</v>
      </c>
      <c r="T12" s="266">
        <v>5.2</v>
      </c>
      <c r="U12" s="260"/>
      <c r="V12" s="87">
        <f t="shared" si="4"/>
        <v>5.2</v>
      </c>
      <c r="W12" s="266">
        <v>0</v>
      </c>
      <c r="X12" s="266">
        <v>10.4</v>
      </c>
      <c r="Y12" s="260">
        <f>50+[3]Januari!AX10</f>
        <v>50</v>
      </c>
      <c r="Z12" s="87">
        <f t="shared" si="5"/>
        <v>60.4</v>
      </c>
      <c r="AA12" s="94">
        <f t="shared" si="12"/>
        <v>636.44000000000005</v>
      </c>
      <c r="AB12" s="96" t="s">
        <v>53</v>
      </c>
      <c r="AC12" s="138"/>
      <c r="AD12" s="146">
        <v>5</v>
      </c>
      <c r="AE12" s="147" t="s">
        <v>8</v>
      </c>
      <c r="AF12" s="141">
        <f t="shared" si="6"/>
        <v>251.2</v>
      </c>
      <c r="AG12" s="141">
        <f t="shared" si="6"/>
        <v>45.24</v>
      </c>
      <c r="AH12" s="141">
        <f t="shared" si="7"/>
        <v>340</v>
      </c>
      <c r="AI12" s="108"/>
      <c r="AJ12" s="148">
        <v>5</v>
      </c>
      <c r="AK12" s="149" t="s">
        <v>8</v>
      </c>
      <c r="AL12" s="144">
        <f t="shared" si="8"/>
        <v>251.2</v>
      </c>
      <c r="AM12" s="145">
        <f t="shared" si="9"/>
        <v>0.39469549368361506</v>
      </c>
      <c r="AN12" s="144">
        <f t="shared" si="13"/>
        <v>45.24</v>
      </c>
      <c r="AO12" s="145">
        <f t="shared" si="10"/>
        <v>7.1082898623593738E-2</v>
      </c>
      <c r="AP12" s="144">
        <f t="shared" si="14"/>
        <v>340</v>
      </c>
      <c r="AQ12" s="145">
        <f t="shared" si="11"/>
        <v>0.53422160769279115</v>
      </c>
    </row>
    <row r="13" spans="1:43" x14ac:dyDescent="0.25">
      <c r="A13" s="156">
        <v>6</v>
      </c>
      <c r="B13" s="157" t="s">
        <v>9</v>
      </c>
      <c r="C13" s="266">
        <v>80</v>
      </c>
      <c r="D13" s="266">
        <f>(((4.1+1)*1.3)*2)*2</f>
        <v>26.52</v>
      </c>
      <c r="E13" s="260">
        <v>150</v>
      </c>
      <c r="F13" s="87">
        <f t="shared" si="0"/>
        <v>256.52</v>
      </c>
      <c r="G13" s="266">
        <v>866.8</v>
      </c>
      <c r="H13" s="266">
        <v>30.16</v>
      </c>
      <c r="I13" s="260">
        <v>250</v>
      </c>
      <c r="J13" s="87">
        <f t="shared" si="1"/>
        <v>1146.96</v>
      </c>
      <c r="K13" s="266">
        <v>40</v>
      </c>
      <c r="L13" s="266">
        <v>4.6800000000000006</v>
      </c>
      <c r="M13" s="260">
        <v>90</v>
      </c>
      <c r="N13" s="87">
        <f t="shared" si="2"/>
        <v>134.68</v>
      </c>
      <c r="O13" s="266">
        <v>92.4</v>
      </c>
      <c r="P13" s="266">
        <f>(((7.3+1)*1.3)*2)*2</f>
        <v>43.160000000000004</v>
      </c>
      <c r="Q13" s="260">
        <f>+[5]Januari!Q13</f>
        <v>250</v>
      </c>
      <c r="R13" s="87">
        <f t="shared" si="3"/>
        <v>385.56</v>
      </c>
      <c r="S13" s="259">
        <v>0</v>
      </c>
      <c r="T13" s="266">
        <f>(((2+1)*1.3)*2)*2</f>
        <v>15.600000000000001</v>
      </c>
      <c r="U13" s="260">
        <f>60+180</f>
        <v>240</v>
      </c>
      <c r="V13" s="87">
        <f t="shared" si="4"/>
        <v>255.6</v>
      </c>
      <c r="W13" s="266">
        <v>100</v>
      </c>
      <c r="X13" s="266">
        <v>15.600000000000001</v>
      </c>
      <c r="Y13" s="260">
        <f>50+[3]Januari!AX11</f>
        <v>110</v>
      </c>
      <c r="Z13" s="87">
        <f t="shared" si="5"/>
        <v>225.6</v>
      </c>
      <c r="AA13" s="94">
        <f t="shared" si="12"/>
        <v>2404.92</v>
      </c>
      <c r="AB13" s="96" t="s">
        <v>53</v>
      </c>
      <c r="AC13" s="138"/>
      <c r="AD13" s="146">
        <v>6</v>
      </c>
      <c r="AE13" s="147" t="s">
        <v>9</v>
      </c>
      <c r="AF13" s="141">
        <f t="shared" si="6"/>
        <v>1179.2</v>
      </c>
      <c r="AG13" s="141">
        <f t="shared" si="6"/>
        <v>135.72</v>
      </c>
      <c r="AH13" s="141">
        <f t="shared" si="7"/>
        <v>1090</v>
      </c>
      <c r="AI13" s="108"/>
      <c r="AJ13" s="148">
        <v>6</v>
      </c>
      <c r="AK13" s="149" t="s">
        <v>9</v>
      </c>
      <c r="AL13" s="144">
        <f t="shared" si="8"/>
        <v>1179.2</v>
      </c>
      <c r="AM13" s="145">
        <f t="shared" si="9"/>
        <v>0.49032816060409495</v>
      </c>
      <c r="AN13" s="144">
        <f t="shared" si="13"/>
        <v>135.72</v>
      </c>
      <c r="AO13" s="145">
        <f t="shared" si="10"/>
        <v>5.6434309665186366E-2</v>
      </c>
      <c r="AP13" s="144">
        <f t="shared" si="14"/>
        <v>1090</v>
      </c>
      <c r="AQ13" s="145">
        <f t="shared" si="11"/>
        <v>0.45323752973071868</v>
      </c>
    </row>
    <row r="14" spans="1:43" x14ac:dyDescent="0.25">
      <c r="A14" s="156">
        <v>7</v>
      </c>
      <c r="B14" s="157" t="s">
        <v>10</v>
      </c>
      <c r="C14" s="266">
        <v>120</v>
      </c>
      <c r="D14" s="266">
        <v>5.2</v>
      </c>
      <c r="E14" s="260">
        <v>120</v>
      </c>
      <c r="F14" s="87">
        <f t="shared" si="0"/>
        <v>245.2</v>
      </c>
      <c r="G14" s="266">
        <v>465.6</v>
      </c>
      <c r="H14" s="266">
        <v>12.48</v>
      </c>
      <c r="I14" s="260">
        <v>200</v>
      </c>
      <c r="J14" s="87">
        <f t="shared" si="1"/>
        <v>678.08</v>
      </c>
      <c r="K14" s="266">
        <v>15.6</v>
      </c>
      <c r="L14" s="266">
        <v>11.959999999999999</v>
      </c>
      <c r="M14" s="260">
        <v>90</v>
      </c>
      <c r="N14" s="87">
        <f t="shared" si="2"/>
        <v>117.56</v>
      </c>
      <c r="O14" s="266">
        <v>93.6</v>
      </c>
      <c r="P14" s="266">
        <v>27.040000000000003</v>
      </c>
      <c r="Q14" s="260">
        <f>+[5]Januari!Q14</f>
        <v>300</v>
      </c>
      <c r="R14" s="87">
        <f t="shared" si="3"/>
        <v>420.64</v>
      </c>
      <c r="S14" s="259">
        <v>0</v>
      </c>
      <c r="T14" s="266">
        <v>10.4</v>
      </c>
      <c r="U14" s="260">
        <f>60+70</f>
        <v>130</v>
      </c>
      <c r="V14" s="87">
        <f t="shared" si="4"/>
        <v>140.4</v>
      </c>
      <c r="W14" s="266">
        <v>100</v>
      </c>
      <c r="X14" s="266">
        <v>15.600000000000001</v>
      </c>
      <c r="Y14" s="260">
        <f>50+[3]Januari!AX12</f>
        <v>70</v>
      </c>
      <c r="Z14" s="87">
        <f t="shared" si="5"/>
        <v>185.6</v>
      </c>
      <c r="AA14" s="94">
        <f t="shared" si="12"/>
        <v>1787.48</v>
      </c>
      <c r="AB14" s="96" t="s">
        <v>53</v>
      </c>
      <c r="AC14" s="138"/>
      <c r="AD14" s="146">
        <v>7</v>
      </c>
      <c r="AE14" s="147" t="s">
        <v>10</v>
      </c>
      <c r="AF14" s="141">
        <f t="shared" si="6"/>
        <v>794.80000000000007</v>
      </c>
      <c r="AG14" s="141">
        <f t="shared" si="6"/>
        <v>82.68</v>
      </c>
      <c r="AH14" s="141">
        <f t="shared" si="7"/>
        <v>910</v>
      </c>
      <c r="AI14" s="108"/>
      <c r="AJ14" s="148">
        <v>7</v>
      </c>
      <c r="AK14" s="149" t="s">
        <v>10</v>
      </c>
      <c r="AL14" s="144">
        <f t="shared" si="8"/>
        <v>794.80000000000007</v>
      </c>
      <c r="AM14" s="145">
        <f t="shared" si="9"/>
        <v>0.44464833172958584</v>
      </c>
      <c r="AN14" s="144">
        <f t="shared" si="13"/>
        <v>82.68</v>
      </c>
      <c r="AO14" s="145">
        <f t="shared" si="10"/>
        <v>4.6255062993711821E-2</v>
      </c>
      <c r="AP14" s="144">
        <f t="shared" si="14"/>
        <v>910</v>
      </c>
      <c r="AQ14" s="145">
        <f t="shared" si="11"/>
        <v>0.50909660527670242</v>
      </c>
    </row>
    <row r="15" spans="1:43" x14ac:dyDescent="0.25">
      <c r="A15" s="156">
        <v>8</v>
      </c>
      <c r="B15" s="157" t="s">
        <v>11</v>
      </c>
      <c r="C15" s="266">
        <v>120</v>
      </c>
      <c r="D15" s="266">
        <v>21.32</v>
      </c>
      <c r="E15" s="260">
        <v>130</v>
      </c>
      <c r="F15" s="87">
        <f t="shared" si="0"/>
        <v>271.32</v>
      </c>
      <c r="G15" s="266">
        <v>69.599999999999994</v>
      </c>
      <c r="H15" s="266">
        <f>(((3.5+2)*1.3)*2)*2</f>
        <v>28.6</v>
      </c>
      <c r="I15" s="260">
        <v>0</v>
      </c>
      <c r="J15" s="87">
        <f t="shared" si="1"/>
        <v>98.199999999999989</v>
      </c>
      <c r="K15" s="266">
        <v>80</v>
      </c>
      <c r="L15" s="266">
        <v>20.8</v>
      </c>
      <c r="M15" s="260">
        <v>80</v>
      </c>
      <c r="N15" s="87">
        <f t="shared" si="2"/>
        <v>180.8</v>
      </c>
      <c r="O15" s="266">
        <v>98</v>
      </c>
      <c r="P15" s="266">
        <v>11.959999999999999</v>
      </c>
      <c r="Q15" s="260">
        <f>+[5]Januari!Q15</f>
        <v>310</v>
      </c>
      <c r="R15" s="87">
        <f t="shared" si="3"/>
        <v>419.96</v>
      </c>
      <c r="S15" s="259">
        <v>0</v>
      </c>
      <c r="T15" s="266">
        <f>(((2+1)*1.3)*2)*2</f>
        <v>15.600000000000001</v>
      </c>
      <c r="U15" s="260">
        <f>50+140</f>
        <v>190</v>
      </c>
      <c r="V15" s="87">
        <f t="shared" si="4"/>
        <v>205.6</v>
      </c>
      <c r="W15" s="266">
        <v>100</v>
      </c>
      <c r="X15" s="266">
        <v>10.4</v>
      </c>
      <c r="Y15" s="260">
        <f>50+[3]Januari!AX13</f>
        <v>120</v>
      </c>
      <c r="Z15" s="87">
        <f t="shared" si="5"/>
        <v>230.4</v>
      </c>
      <c r="AA15" s="94">
        <f t="shared" si="12"/>
        <v>1406.28</v>
      </c>
      <c r="AB15" s="96" t="s">
        <v>53</v>
      </c>
      <c r="AC15" s="138"/>
      <c r="AD15" s="146">
        <v>8</v>
      </c>
      <c r="AE15" s="147" t="s">
        <v>11</v>
      </c>
      <c r="AF15" s="141">
        <f t="shared" si="6"/>
        <v>467.6</v>
      </c>
      <c r="AG15" s="141">
        <f t="shared" si="6"/>
        <v>108.68</v>
      </c>
      <c r="AH15" s="141">
        <f t="shared" si="7"/>
        <v>830</v>
      </c>
      <c r="AI15" s="108"/>
      <c r="AJ15" s="148">
        <v>8</v>
      </c>
      <c r="AK15" s="149" t="s">
        <v>11</v>
      </c>
      <c r="AL15" s="144">
        <f t="shared" si="8"/>
        <v>467.6</v>
      </c>
      <c r="AM15" s="145">
        <f t="shared" si="9"/>
        <v>0.3325084620416987</v>
      </c>
      <c r="AN15" s="144">
        <f t="shared" si="13"/>
        <v>108.68</v>
      </c>
      <c r="AO15" s="145">
        <f t="shared" si="10"/>
        <v>7.7281906874875558E-2</v>
      </c>
      <c r="AP15" s="144">
        <f t="shared" si="14"/>
        <v>830</v>
      </c>
      <c r="AQ15" s="145">
        <f t="shared" si="11"/>
        <v>0.59020963108342583</v>
      </c>
    </row>
    <row r="16" spans="1:43" x14ac:dyDescent="0.25">
      <c r="A16" s="156">
        <v>9</v>
      </c>
      <c r="B16" s="157" t="s">
        <v>12</v>
      </c>
      <c r="C16" s="266">
        <v>40</v>
      </c>
      <c r="D16" s="266">
        <v>5.2</v>
      </c>
      <c r="E16" s="260">
        <f>+[5]Januari!E16</f>
        <v>50</v>
      </c>
      <c r="F16" s="87">
        <f t="shared" si="0"/>
        <v>95.2</v>
      </c>
      <c r="G16" s="266">
        <v>466.8</v>
      </c>
      <c r="H16" s="266">
        <v>9.3600000000000012</v>
      </c>
      <c r="I16" s="260">
        <v>120</v>
      </c>
      <c r="J16" s="87">
        <f t="shared" si="1"/>
        <v>596.16000000000008</v>
      </c>
      <c r="K16" s="266">
        <v>0</v>
      </c>
      <c r="L16" s="266">
        <v>10.920000000000002</v>
      </c>
      <c r="M16" s="260"/>
      <c r="N16" s="87">
        <f t="shared" si="2"/>
        <v>10.920000000000002</v>
      </c>
      <c r="O16" s="266">
        <v>91.2</v>
      </c>
      <c r="P16" s="266">
        <v>20.8</v>
      </c>
      <c r="Q16" s="260">
        <f>+[5]Januari!Q16</f>
        <v>230</v>
      </c>
      <c r="R16" s="87">
        <f t="shared" si="3"/>
        <v>342</v>
      </c>
      <c r="S16" s="259">
        <v>0</v>
      </c>
      <c r="T16" s="266">
        <f>(((2+1)*1.3)*2)*2</f>
        <v>15.600000000000001</v>
      </c>
      <c r="U16" s="260">
        <f>40+120</f>
        <v>160</v>
      </c>
      <c r="V16" s="87">
        <f t="shared" si="4"/>
        <v>175.6</v>
      </c>
      <c r="W16" s="266">
        <v>100</v>
      </c>
      <c r="X16" s="266">
        <v>10.4</v>
      </c>
      <c r="Y16" s="260">
        <f>50+[3]Januari!AX14</f>
        <v>120</v>
      </c>
      <c r="Z16" s="87">
        <f t="shared" si="5"/>
        <v>230.4</v>
      </c>
      <c r="AA16" s="94">
        <f t="shared" si="12"/>
        <v>1450.2800000000002</v>
      </c>
      <c r="AB16" s="96" t="s">
        <v>53</v>
      </c>
      <c r="AC16" s="138"/>
      <c r="AD16" s="146">
        <v>9</v>
      </c>
      <c r="AE16" s="147" t="s">
        <v>12</v>
      </c>
      <c r="AF16" s="141">
        <f t="shared" si="6"/>
        <v>698</v>
      </c>
      <c r="AG16" s="141">
        <f t="shared" si="6"/>
        <v>72.28</v>
      </c>
      <c r="AH16" s="141">
        <f t="shared" si="7"/>
        <v>680</v>
      </c>
      <c r="AI16" s="108"/>
      <c r="AJ16" s="148">
        <v>9</v>
      </c>
      <c r="AK16" s="149" t="s">
        <v>12</v>
      </c>
      <c r="AL16" s="144">
        <f t="shared" si="8"/>
        <v>698</v>
      </c>
      <c r="AM16" s="145">
        <f t="shared" si="9"/>
        <v>0.48128637228673077</v>
      </c>
      <c r="AN16" s="144">
        <f t="shared" si="13"/>
        <v>72.28</v>
      </c>
      <c r="AO16" s="145">
        <f t="shared" si="10"/>
        <v>4.9838651846539975E-2</v>
      </c>
      <c r="AP16" s="144">
        <f t="shared" si="14"/>
        <v>680</v>
      </c>
      <c r="AQ16" s="145">
        <f t="shared" si="11"/>
        <v>0.4688749758667291</v>
      </c>
    </row>
    <row r="17" spans="1:43" x14ac:dyDescent="0.25">
      <c r="A17" s="156">
        <v>10</v>
      </c>
      <c r="B17" s="157" t="s">
        <v>13</v>
      </c>
      <c r="C17" s="266">
        <v>80</v>
      </c>
      <c r="D17" s="266">
        <v>6.24</v>
      </c>
      <c r="E17" s="260">
        <v>110</v>
      </c>
      <c r="F17" s="87">
        <f t="shared" si="0"/>
        <v>196.24</v>
      </c>
      <c r="G17" s="266">
        <v>349.6</v>
      </c>
      <c r="H17" s="266">
        <f>(((3.2+2)*1.3)*2)*2</f>
        <v>27.040000000000003</v>
      </c>
      <c r="I17" s="260">
        <v>56</v>
      </c>
      <c r="J17" s="87">
        <f t="shared" si="1"/>
        <v>432.64000000000004</v>
      </c>
      <c r="K17" s="266">
        <v>0</v>
      </c>
      <c r="L17" s="266">
        <v>7.2799999999999994</v>
      </c>
      <c r="M17" s="260"/>
      <c r="N17" s="87">
        <f t="shared" si="2"/>
        <v>7.2799999999999994</v>
      </c>
      <c r="O17" s="266">
        <v>94.8</v>
      </c>
      <c r="P17" s="266">
        <f>(((2.4+1)*1.3)*2)*2</f>
        <v>17.68</v>
      </c>
      <c r="Q17" s="260">
        <f>+[5]Januari!Q17</f>
        <v>450</v>
      </c>
      <c r="R17" s="87">
        <f t="shared" si="3"/>
        <v>562.48</v>
      </c>
      <c r="S17" s="259">
        <v>0</v>
      </c>
      <c r="T17" s="266">
        <f>(((2+1)*1.3)*2)*2</f>
        <v>15.600000000000001</v>
      </c>
      <c r="U17" s="260">
        <f>130+60</f>
        <v>190</v>
      </c>
      <c r="V17" s="87">
        <f t="shared" si="4"/>
        <v>205.6</v>
      </c>
      <c r="W17" s="266">
        <v>100</v>
      </c>
      <c r="X17" s="266">
        <v>10.4</v>
      </c>
      <c r="Y17" s="260">
        <f>50+[3]Januari!AX15</f>
        <v>110</v>
      </c>
      <c r="Z17" s="87">
        <f t="shared" si="5"/>
        <v>220.4</v>
      </c>
      <c r="AA17" s="94">
        <f t="shared" si="12"/>
        <v>1624.64</v>
      </c>
      <c r="AB17" s="96" t="s">
        <v>53</v>
      </c>
      <c r="AC17" s="138"/>
      <c r="AD17" s="146">
        <v>10</v>
      </c>
      <c r="AE17" s="147" t="s">
        <v>13</v>
      </c>
      <c r="AF17" s="141">
        <f>(C17+G17+K17+O17+S17+W17)</f>
        <v>624.4</v>
      </c>
      <c r="AG17" s="141">
        <f>(D17+H17+L17+P17+T17+X17)</f>
        <v>84.240000000000009</v>
      </c>
      <c r="AH17" s="141">
        <f>(E17+I17+M17+Q17++U17+Y17)</f>
        <v>916</v>
      </c>
      <c r="AI17" s="108"/>
      <c r="AJ17" s="148">
        <v>10</v>
      </c>
      <c r="AK17" s="149" t="s">
        <v>13</v>
      </c>
      <c r="AL17" s="144">
        <f t="shared" si="8"/>
        <v>624.4</v>
      </c>
      <c r="AM17" s="145">
        <f t="shared" si="9"/>
        <v>0.38433129801063615</v>
      </c>
      <c r="AN17" s="144">
        <f t="shared" si="13"/>
        <v>84.240000000000009</v>
      </c>
      <c r="AO17" s="145">
        <f t="shared" si="10"/>
        <v>5.1851487098680323E-2</v>
      </c>
      <c r="AP17" s="144">
        <f t="shared" si="14"/>
        <v>916</v>
      </c>
      <c r="AQ17" s="145">
        <f t="shared" si="11"/>
        <v>0.56381721489068348</v>
      </c>
    </row>
    <row r="18" spans="1:43" x14ac:dyDescent="0.25">
      <c r="A18" s="156">
        <v>11</v>
      </c>
      <c r="B18" s="157" t="s">
        <v>14</v>
      </c>
      <c r="C18" s="266">
        <v>0</v>
      </c>
      <c r="D18" s="266">
        <v>0</v>
      </c>
      <c r="E18" s="260">
        <v>0</v>
      </c>
      <c r="F18" s="87">
        <f t="shared" si="0"/>
        <v>0</v>
      </c>
      <c r="G18" s="266">
        <v>120</v>
      </c>
      <c r="H18" s="266">
        <v>0</v>
      </c>
      <c r="I18" s="260">
        <v>200</v>
      </c>
      <c r="J18" s="87">
        <f t="shared" si="1"/>
        <v>320</v>
      </c>
      <c r="K18" s="266">
        <v>0</v>
      </c>
      <c r="L18" s="266">
        <v>7.2799999999999994</v>
      </c>
      <c r="M18" s="260"/>
      <c r="N18" s="87">
        <f t="shared" si="2"/>
        <v>7.2799999999999994</v>
      </c>
      <c r="O18" s="266">
        <v>0</v>
      </c>
      <c r="P18" s="266">
        <v>23.400000000000002</v>
      </c>
      <c r="Q18" s="260">
        <f>+[5]Januari!Q18</f>
        <v>0</v>
      </c>
      <c r="R18" s="87">
        <f t="shared" si="3"/>
        <v>23.400000000000002</v>
      </c>
      <c r="S18" s="259">
        <v>0</v>
      </c>
      <c r="T18" s="266">
        <v>0</v>
      </c>
      <c r="U18" s="260">
        <v>50</v>
      </c>
      <c r="V18" s="87">
        <f t="shared" si="4"/>
        <v>50</v>
      </c>
      <c r="W18" s="266">
        <v>0</v>
      </c>
      <c r="X18" s="266">
        <v>0</v>
      </c>
      <c r="Y18" s="260">
        <f>50+[3]Januari!AX16</f>
        <v>80</v>
      </c>
      <c r="Z18" s="87">
        <f t="shared" si="5"/>
        <v>80</v>
      </c>
      <c r="AA18" s="94">
        <f t="shared" si="12"/>
        <v>480.67999999999995</v>
      </c>
      <c r="AB18" s="96" t="s">
        <v>53</v>
      </c>
      <c r="AC18" s="138"/>
      <c r="AD18" s="146">
        <v>11</v>
      </c>
      <c r="AE18" s="147" t="s">
        <v>14</v>
      </c>
      <c r="AF18" s="141">
        <f t="shared" ref="AF18:AG38" si="15">(C18+G18+K18+O18+S18+W18)</f>
        <v>120</v>
      </c>
      <c r="AG18" s="141">
        <f t="shared" si="15"/>
        <v>30.68</v>
      </c>
      <c r="AH18" s="141">
        <f t="shared" ref="AH18:AH38" si="16">(E18+I18+M18+Q18++U18+Y18)</f>
        <v>330</v>
      </c>
      <c r="AI18" s="108"/>
      <c r="AJ18" s="148">
        <v>11</v>
      </c>
      <c r="AK18" s="149" t="s">
        <v>14</v>
      </c>
      <c r="AL18" s="144">
        <f t="shared" si="8"/>
        <v>120</v>
      </c>
      <c r="AM18" s="145">
        <f t="shared" si="9"/>
        <v>0.24964633435965719</v>
      </c>
      <c r="AN18" s="144">
        <f t="shared" si="13"/>
        <v>30.68</v>
      </c>
      <c r="AO18" s="145">
        <f t="shared" si="10"/>
        <v>6.3826246151285682E-2</v>
      </c>
      <c r="AP18" s="144">
        <f t="shared" si="14"/>
        <v>330</v>
      </c>
      <c r="AQ18" s="145">
        <f t="shared" si="11"/>
        <v>0.68652741948905727</v>
      </c>
    </row>
    <row r="19" spans="1:43" x14ac:dyDescent="0.25">
      <c r="A19" s="156">
        <v>12</v>
      </c>
      <c r="B19" s="157" t="s">
        <v>15</v>
      </c>
      <c r="C19" s="266">
        <v>0</v>
      </c>
      <c r="D19" s="266">
        <v>0</v>
      </c>
      <c r="E19" s="260">
        <v>0</v>
      </c>
      <c r="F19" s="87">
        <f t="shared" si="0"/>
        <v>0</v>
      </c>
      <c r="G19" s="266">
        <v>180</v>
      </c>
      <c r="H19" s="266">
        <v>5.2</v>
      </c>
      <c r="I19" s="260">
        <v>200</v>
      </c>
      <c r="J19" s="87">
        <f t="shared" si="1"/>
        <v>385.2</v>
      </c>
      <c r="K19" s="266">
        <v>11.6</v>
      </c>
      <c r="L19" s="266">
        <v>13</v>
      </c>
      <c r="M19" s="260"/>
      <c r="N19" s="87">
        <f t="shared" si="2"/>
        <v>24.6</v>
      </c>
      <c r="O19" s="266">
        <v>0</v>
      </c>
      <c r="P19" s="266">
        <f>(((1.5+1)*1.3)*2)*2</f>
        <v>13</v>
      </c>
      <c r="Q19" s="260">
        <f>+[5]Januari!Q19</f>
        <v>0</v>
      </c>
      <c r="R19" s="87">
        <f t="shared" si="3"/>
        <v>13</v>
      </c>
      <c r="S19" s="259">
        <v>0</v>
      </c>
      <c r="T19" s="266">
        <v>0</v>
      </c>
      <c r="U19" s="260"/>
      <c r="V19" s="87">
        <f t="shared" si="4"/>
        <v>0</v>
      </c>
      <c r="W19" s="266">
        <v>0</v>
      </c>
      <c r="X19" s="266">
        <v>10.4</v>
      </c>
      <c r="Y19" s="260">
        <f>50+[3]Januari!AX17</f>
        <v>50</v>
      </c>
      <c r="Z19" s="87">
        <f t="shared" si="5"/>
        <v>60.4</v>
      </c>
      <c r="AA19" s="94">
        <f t="shared" si="12"/>
        <v>483.2</v>
      </c>
      <c r="AB19" s="96" t="s">
        <v>53</v>
      </c>
      <c r="AC19" s="138"/>
      <c r="AD19" s="146">
        <v>12</v>
      </c>
      <c r="AE19" s="147" t="s">
        <v>15</v>
      </c>
      <c r="AF19" s="141">
        <f t="shared" si="15"/>
        <v>191.6</v>
      </c>
      <c r="AG19" s="141">
        <f t="shared" si="15"/>
        <v>41.6</v>
      </c>
      <c r="AH19" s="141">
        <f t="shared" si="16"/>
        <v>250</v>
      </c>
      <c r="AI19" s="108"/>
      <c r="AJ19" s="148">
        <v>12</v>
      </c>
      <c r="AK19" s="149" t="s">
        <v>15</v>
      </c>
      <c r="AL19" s="144">
        <f t="shared" si="8"/>
        <v>191.6</v>
      </c>
      <c r="AM19" s="145">
        <f t="shared" si="9"/>
        <v>0.39652317880794702</v>
      </c>
      <c r="AN19" s="144">
        <f t="shared" si="13"/>
        <v>41.6</v>
      </c>
      <c r="AO19" s="145">
        <f t="shared" si="10"/>
        <v>8.6092715231788089E-2</v>
      </c>
      <c r="AP19" s="144">
        <f t="shared" si="14"/>
        <v>250</v>
      </c>
      <c r="AQ19" s="145">
        <f t="shared" si="11"/>
        <v>0.51738410596026496</v>
      </c>
    </row>
    <row r="20" spans="1:43" x14ac:dyDescent="0.25">
      <c r="A20" s="156">
        <v>13</v>
      </c>
      <c r="B20" s="157" t="s">
        <v>16</v>
      </c>
      <c r="C20" s="266">
        <v>120</v>
      </c>
      <c r="D20" s="266">
        <f>(((2.5+2)*1.3)*2)*2</f>
        <v>23.400000000000002</v>
      </c>
      <c r="E20" s="260">
        <v>130</v>
      </c>
      <c r="F20" s="87">
        <f t="shared" si="0"/>
        <v>273.39999999999998</v>
      </c>
      <c r="G20" s="266">
        <v>274.8</v>
      </c>
      <c r="H20" s="266">
        <v>20.8</v>
      </c>
      <c r="I20" s="260">
        <v>304</v>
      </c>
      <c r="J20" s="87">
        <f t="shared" si="1"/>
        <v>599.6</v>
      </c>
      <c r="K20" s="266">
        <v>0</v>
      </c>
      <c r="L20" s="266">
        <v>22.36</v>
      </c>
      <c r="M20" s="260">
        <v>100</v>
      </c>
      <c r="N20" s="87">
        <f t="shared" si="2"/>
        <v>122.36</v>
      </c>
      <c r="O20" s="266">
        <v>96.8</v>
      </c>
      <c r="P20" s="266">
        <v>20.28</v>
      </c>
      <c r="Q20" s="260">
        <f>+[5]Januari!Q20</f>
        <v>250</v>
      </c>
      <c r="R20" s="87">
        <f t="shared" si="3"/>
        <v>367.08</v>
      </c>
      <c r="S20" s="259">
        <v>0</v>
      </c>
      <c r="T20" s="266">
        <f>(((2+2)*1.3)*2)*2</f>
        <v>20.8</v>
      </c>
      <c r="U20" s="260">
        <f>50+130</f>
        <v>180</v>
      </c>
      <c r="V20" s="87">
        <f t="shared" si="4"/>
        <v>200.8</v>
      </c>
      <c r="W20" s="266">
        <v>100</v>
      </c>
      <c r="X20" s="266">
        <v>10.4</v>
      </c>
      <c r="Y20" s="260">
        <f>50+[3]Januari!AX18</f>
        <v>110</v>
      </c>
      <c r="Z20" s="87">
        <f t="shared" si="5"/>
        <v>220.4</v>
      </c>
      <c r="AA20" s="94">
        <f t="shared" si="12"/>
        <v>1783.64</v>
      </c>
      <c r="AB20" s="96" t="s">
        <v>53</v>
      </c>
      <c r="AC20" s="138"/>
      <c r="AD20" s="146">
        <v>13</v>
      </c>
      <c r="AE20" s="147" t="s">
        <v>16</v>
      </c>
      <c r="AF20" s="141">
        <f t="shared" si="15"/>
        <v>591.6</v>
      </c>
      <c r="AG20" s="141">
        <f t="shared" si="15"/>
        <v>118.04</v>
      </c>
      <c r="AH20" s="141">
        <f t="shared" si="16"/>
        <v>1074</v>
      </c>
      <c r="AI20" s="108"/>
      <c r="AJ20" s="148">
        <v>13</v>
      </c>
      <c r="AK20" s="149" t="s">
        <v>16</v>
      </c>
      <c r="AL20" s="144">
        <f t="shared" si="8"/>
        <v>591.6</v>
      </c>
      <c r="AM20" s="145">
        <f t="shared" si="9"/>
        <v>0.33168128097598171</v>
      </c>
      <c r="AN20" s="144">
        <f t="shared" si="13"/>
        <v>118.04</v>
      </c>
      <c r="AO20" s="145">
        <f t="shared" si="10"/>
        <v>6.6179273844497774E-2</v>
      </c>
      <c r="AP20" s="144">
        <f t="shared" si="14"/>
        <v>1074</v>
      </c>
      <c r="AQ20" s="145">
        <f t="shared" si="11"/>
        <v>0.60213944517952045</v>
      </c>
    </row>
    <row r="21" spans="1:43" x14ac:dyDescent="0.25">
      <c r="A21" s="156">
        <v>14</v>
      </c>
      <c r="B21" s="157" t="s">
        <v>17</v>
      </c>
      <c r="C21" s="266">
        <v>200</v>
      </c>
      <c r="D21" s="266">
        <v>10.920000000000002</v>
      </c>
      <c r="E21" s="260">
        <v>160</v>
      </c>
      <c r="F21" s="87">
        <f t="shared" si="0"/>
        <v>370.92</v>
      </c>
      <c r="G21" s="266">
        <v>148.4</v>
      </c>
      <c r="H21" s="266">
        <v>12.48</v>
      </c>
      <c r="I21" s="260">
        <v>300</v>
      </c>
      <c r="J21" s="87">
        <f t="shared" si="1"/>
        <v>460.88</v>
      </c>
      <c r="K21" s="266">
        <v>0</v>
      </c>
      <c r="L21" s="266">
        <v>5.7200000000000006</v>
      </c>
      <c r="M21" s="260">
        <v>100</v>
      </c>
      <c r="N21" s="87">
        <f t="shared" si="2"/>
        <v>105.72</v>
      </c>
      <c r="O21" s="266">
        <v>96.4</v>
      </c>
      <c r="P21" s="266">
        <f>(((1.8+1)*1.3)*2)*2</f>
        <v>14.559999999999999</v>
      </c>
      <c r="Q21" s="260">
        <f>+[5]Januari!Q21</f>
        <v>310</v>
      </c>
      <c r="R21" s="87">
        <f t="shared" si="3"/>
        <v>420.96000000000004</v>
      </c>
      <c r="S21" s="259">
        <v>0</v>
      </c>
      <c r="T21" s="266">
        <f>(((2+1)*1.3)*2)*2</f>
        <v>15.600000000000001</v>
      </c>
      <c r="U21" s="260">
        <f>60+860</f>
        <v>920</v>
      </c>
      <c r="V21" s="87">
        <f t="shared" si="4"/>
        <v>935.6</v>
      </c>
      <c r="W21" s="266">
        <v>100</v>
      </c>
      <c r="X21" s="266">
        <v>10.4</v>
      </c>
      <c r="Y21" s="260">
        <f>50+[3]Januari!AX19</f>
        <v>510</v>
      </c>
      <c r="Z21" s="87">
        <f t="shared" si="5"/>
        <v>620.4</v>
      </c>
      <c r="AA21" s="94">
        <f t="shared" si="12"/>
        <v>2914.48</v>
      </c>
      <c r="AB21" s="96" t="s">
        <v>53</v>
      </c>
      <c r="AC21" s="138"/>
      <c r="AD21" s="146">
        <v>14</v>
      </c>
      <c r="AE21" s="147" t="s">
        <v>17</v>
      </c>
      <c r="AF21" s="141">
        <f t="shared" si="15"/>
        <v>544.79999999999995</v>
      </c>
      <c r="AG21" s="141">
        <f t="shared" si="15"/>
        <v>69.680000000000007</v>
      </c>
      <c r="AH21" s="141">
        <f t="shared" si="16"/>
        <v>2300</v>
      </c>
      <c r="AI21" s="108"/>
      <c r="AJ21" s="148">
        <v>14</v>
      </c>
      <c r="AK21" s="149" t="s">
        <v>17</v>
      </c>
      <c r="AL21" s="144">
        <f t="shared" si="8"/>
        <v>544.79999999999995</v>
      </c>
      <c r="AM21" s="145">
        <f t="shared" si="9"/>
        <v>0.18692871455628446</v>
      </c>
      <c r="AN21" s="144">
        <f t="shared" si="13"/>
        <v>69.680000000000007</v>
      </c>
      <c r="AO21" s="145">
        <f t="shared" si="10"/>
        <v>2.3908210040899238E-2</v>
      </c>
      <c r="AP21" s="144">
        <f t="shared" si="14"/>
        <v>2300</v>
      </c>
      <c r="AQ21" s="145">
        <f t="shared" si="11"/>
        <v>0.78916307540281627</v>
      </c>
    </row>
    <row r="22" spans="1:43" x14ac:dyDescent="0.25">
      <c r="A22" s="156">
        <v>15</v>
      </c>
      <c r="B22" s="157" t="s">
        <v>18</v>
      </c>
      <c r="C22" s="266">
        <v>200</v>
      </c>
      <c r="D22" s="266">
        <v>26</v>
      </c>
      <c r="E22" s="260">
        <v>150</v>
      </c>
      <c r="F22" s="87">
        <f t="shared" si="0"/>
        <v>376</v>
      </c>
      <c r="G22" s="266">
        <v>67.2</v>
      </c>
      <c r="H22" s="266">
        <f>(((1.5+1)*1.3)*2)*2</f>
        <v>13</v>
      </c>
      <c r="I22" s="260">
        <v>0</v>
      </c>
      <c r="J22" s="87">
        <f t="shared" si="1"/>
        <v>80.2</v>
      </c>
      <c r="K22" s="266">
        <v>0</v>
      </c>
      <c r="L22" s="266">
        <v>12.48</v>
      </c>
      <c r="M22" s="260">
        <v>100</v>
      </c>
      <c r="N22" s="87">
        <f t="shared" si="2"/>
        <v>112.48</v>
      </c>
      <c r="O22" s="266">
        <v>94.8</v>
      </c>
      <c r="P22" s="266">
        <v>14.040000000000001</v>
      </c>
      <c r="Q22" s="260">
        <f>+[5]Januari!Q22</f>
        <v>340</v>
      </c>
      <c r="R22" s="87">
        <f t="shared" si="3"/>
        <v>448.84000000000003</v>
      </c>
      <c r="S22" s="259">
        <v>0</v>
      </c>
      <c r="T22" s="266">
        <v>10.4</v>
      </c>
      <c r="U22" s="260">
        <f>50+750</f>
        <v>800</v>
      </c>
      <c r="V22" s="87">
        <f t="shared" si="4"/>
        <v>810.4</v>
      </c>
      <c r="W22" s="266">
        <v>100</v>
      </c>
      <c r="X22" s="266">
        <v>10.4</v>
      </c>
      <c r="Y22" s="260">
        <f>50+[3]Januari!AX20</f>
        <v>350</v>
      </c>
      <c r="Z22" s="87">
        <f t="shared" si="5"/>
        <v>460.4</v>
      </c>
      <c r="AA22" s="94">
        <f t="shared" si="12"/>
        <v>2288.3200000000002</v>
      </c>
      <c r="AB22" s="96" t="s">
        <v>53</v>
      </c>
      <c r="AC22" s="138"/>
      <c r="AD22" s="146">
        <v>15</v>
      </c>
      <c r="AE22" s="147" t="s">
        <v>18</v>
      </c>
      <c r="AF22" s="141">
        <f t="shared" si="15"/>
        <v>462</v>
      </c>
      <c r="AG22" s="141">
        <f t="shared" si="15"/>
        <v>86.320000000000022</v>
      </c>
      <c r="AH22" s="141">
        <f t="shared" si="16"/>
        <v>1740</v>
      </c>
      <c r="AI22" s="108"/>
      <c r="AJ22" s="148">
        <v>15</v>
      </c>
      <c r="AK22" s="149" t="s">
        <v>18</v>
      </c>
      <c r="AL22" s="144">
        <f t="shared" si="8"/>
        <v>462</v>
      </c>
      <c r="AM22" s="145">
        <f t="shared" si="9"/>
        <v>0.2018948398825339</v>
      </c>
      <c r="AN22" s="144">
        <f t="shared" si="13"/>
        <v>86.320000000000022</v>
      </c>
      <c r="AO22" s="145">
        <f t="shared" si="10"/>
        <v>3.7721996923507209E-2</v>
      </c>
      <c r="AP22" s="144">
        <f t="shared" si="14"/>
        <v>1740</v>
      </c>
      <c r="AQ22" s="145">
        <f t="shared" si="11"/>
        <v>0.76038316319395882</v>
      </c>
    </row>
    <row r="23" spans="1:43" x14ac:dyDescent="0.25">
      <c r="A23" s="156">
        <v>16</v>
      </c>
      <c r="B23" s="157" t="s">
        <v>19</v>
      </c>
      <c r="C23" s="266">
        <v>240</v>
      </c>
      <c r="D23" s="266">
        <v>0</v>
      </c>
      <c r="E23" s="260">
        <v>250</v>
      </c>
      <c r="F23" s="87">
        <f t="shared" si="0"/>
        <v>490</v>
      </c>
      <c r="G23" s="266">
        <v>65.599999999999994</v>
      </c>
      <c r="H23" s="266">
        <v>16.12</v>
      </c>
      <c r="I23" s="260">
        <v>0</v>
      </c>
      <c r="J23" s="87">
        <f t="shared" si="1"/>
        <v>81.72</v>
      </c>
      <c r="K23" s="266">
        <v>212.4</v>
      </c>
      <c r="L23" s="266">
        <v>13.520000000000001</v>
      </c>
      <c r="M23" s="260">
        <v>150</v>
      </c>
      <c r="N23" s="87">
        <f t="shared" si="2"/>
        <v>375.92</v>
      </c>
      <c r="O23" s="266">
        <v>91.6</v>
      </c>
      <c r="P23" s="266">
        <f>(((4.7+1)*1.3)*2)*2</f>
        <v>29.64</v>
      </c>
      <c r="Q23" s="260">
        <f>+[5]Januari!Q23</f>
        <v>350</v>
      </c>
      <c r="R23" s="87">
        <f t="shared" si="3"/>
        <v>471.24</v>
      </c>
      <c r="S23" s="259">
        <v>0</v>
      </c>
      <c r="T23" s="266">
        <v>5.2</v>
      </c>
      <c r="U23" s="260">
        <f>50+125</f>
        <v>175</v>
      </c>
      <c r="V23" s="87">
        <f t="shared" si="4"/>
        <v>180.2</v>
      </c>
      <c r="W23" s="266">
        <v>100</v>
      </c>
      <c r="X23" s="266">
        <f>(((1+1)*1.3)*2)*2</f>
        <v>10.4</v>
      </c>
      <c r="Y23" s="260">
        <f>50+[3]Januari!AX21</f>
        <v>120</v>
      </c>
      <c r="Z23" s="87">
        <f t="shared" si="5"/>
        <v>230.4</v>
      </c>
      <c r="AA23" s="94">
        <f t="shared" si="12"/>
        <v>1829.4800000000002</v>
      </c>
      <c r="AB23" s="96" t="s">
        <v>53</v>
      </c>
      <c r="AC23" s="138"/>
      <c r="AD23" s="146">
        <v>16</v>
      </c>
      <c r="AE23" s="147" t="s">
        <v>19</v>
      </c>
      <c r="AF23" s="141">
        <f t="shared" si="15"/>
        <v>709.6</v>
      </c>
      <c r="AG23" s="141">
        <f t="shared" si="15"/>
        <v>74.88000000000001</v>
      </c>
      <c r="AH23" s="141">
        <f t="shared" si="16"/>
        <v>1045</v>
      </c>
      <c r="AI23" s="108"/>
      <c r="AJ23" s="148">
        <v>16</v>
      </c>
      <c r="AK23" s="149" t="s">
        <v>19</v>
      </c>
      <c r="AL23" s="144">
        <f t="shared" si="8"/>
        <v>709.6</v>
      </c>
      <c r="AM23" s="145">
        <f t="shared" si="9"/>
        <v>0.38786977720445148</v>
      </c>
      <c r="AN23" s="144">
        <f t="shared" si="13"/>
        <v>74.88000000000001</v>
      </c>
      <c r="AO23" s="145">
        <f t="shared" si="10"/>
        <v>4.0929663073660277E-2</v>
      </c>
      <c r="AP23" s="144">
        <f t="shared" si="14"/>
        <v>1045</v>
      </c>
      <c r="AQ23" s="145">
        <f t="shared" si="11"/>
        <v>0.5712005597218881</v>
      </c>
    </row>
    <row r="24" spans="1:43" x14ac:dyDescent="0.25">
      <c r="A24" s="156">
        <v>17</v>
      </c>
      <c r="B24" s="157" t="s">
        <v>20</v>
      </c>
      <c r="C24" s="266">
        <v>160</v>
      </c>
      <c r="D24" s="266">
        <f>(((1.2+1)*1.3)*2)*2</f>
        <v>11.440000000000001</v>
      </c>
      <c r="E24" s="260">
        <v>120</v>
      </c>
      <c r="F24" s="87">
        <f t="shared" si="0"/>
        <v>291.44</v>
      </c>
      <c r="G24" s="266">
        <v>186.8</v>
      </c>
      <c r="H24" s="266">
        <v>16.64</v>
      </c>
      <c r="I24" s="260">
        <v>69</v>
      </c>
      <c r="J24" s="87">
        <f t="shared" si="1"/>
        <v>272.44</v>
      </c>
      <c r="K24" s="266">
        <v>0</v>
      </c>
      <c r="L24" s="266">
        <v>15.08</v>
      </c>
      <c r="M24" s="260">
        <v>130</v>
      </c>
      <c r="N24" s="87">
        <f t="shared" si="2"/>
        <v>145.08000000000001</v>
      </c>
      <c r="O24" s="266">
        <v>92.4</v>
      </c>
      <c r="P24" s="266">
        <v>16.64</v>
      </c>
      <c r="Q24" s="260">
        <f>+[5]Januari!Q24</f>
        <v>290</v>
      </c>
      <c r="R24" s="87">
        <f t="shared" si="3"/>
        <v>399.04</v>
      </c>
      <c r="S24" s="259">
        <v>0</v>
      </c>
      <c r="T24" s="266">
        <v>5.2</v>
      </c>
      <c r="U24" s="260">
        <f>60+120</f>
        <v>180</v>
      </c>
      <c r="V24" s="87">
        <f t="shared" si="4"/>
        <v>185.2</v>
      </c>
      <c r="W24" s="266">
        <v>100</v>
      </c>
      <c r="X24" s="266">
        <v>5.2</v>
      </c>
      <c r="Y24" s="260">
        <f>50+[3]Januari!AX22</f>
        <v>100</v>
      </c>
      <c r="Z24" s="87">
        <f t="shared" si="5"/>
        <v>205.2</v>
      </c>
      <c r="AA24" s="94">
        <f t="shared" si="12"/>
        <v>1498.4</v>
      </c>
      <c r="AB24" s="96" t="s">
        <v>53</v>
      </c>
      <c r="AC24" s="138"/>
      <c r="AD24" s="146">
        <v>17</v>
      </c>
      <c r="AE24" s="147" t="s">
        <v>20</v>
      </c>
      <c r="AF24" s="141">
        <f t="shared" si="15"/>
        <v>539.20000000000005</v>
      </c>
      <c r="AG24" s="141">
        <f t="shared" si="15"/>
        <v>70.2</v>
      </c>
      <c r="AH24" s="141">
        <f t="shared" si="16"/>
        <v>889</v>
      </c>
      <c r="AI24" s="108"/>
      <c r="AJ24" s="148">
        <v>17</v>
      </c>
      <c r="AK24" s="149" t="s">
        <v>20</v>
      </c>
      <c r="AL24" s="144">
        <f t="shared" si="8"/>
        <v>539.20000000000005</v>
      </c>
      <c r="AM24" s="145">
        <f t="shared" si="9"/>
        <v>0.35985050720768819</v>
      </c>
      <c r="AN24" s="144">
        <f t="shared" si="13"/>
        <v>70.2</v>
      </c>
      <c r="AO24" s="145">
        <f t="shared" si="10"/>
        <v>4.6849973304858517E-2</v>
      </c>
      <c r="AP24" s="144">
        <f t="shared" si="14"/>
        <v>889</v>
      </c>
      <c r="AQ24" s="145">
        <f t="shared" si="11"/>
        <v>0.5932995194874533</v>
      </c>
    </row>
    <row r="25" spans="1:43" x14ac:dyDescent="0.25">
      <c r="A25" s="156">
        <v>18</v>
      </c>
      <c r="B25" s="157" t="s">
        <v>21</v>
      </c>
      <c r="C25" s="266">
        <v>0</v>
      </c>
      <c r="D25" s="266">
        <v>0</v>
      </c>
      <c r="E25" s="260">
        <f>+[5]Januari!E25</f>
        <v>60</v>
      </c>
      <c r="F25" s="87">
        <f t="shared" si="0"/>
        <v>60</v>
      </c>
      <c r="G25" s="266">
        <v>0</v>
      </c>
      <c r="H25" s="266">
        <v>5.2</v>
      </c>
      <c r="I25" s="260">
        <v>0</v>
      </c>
      <c r="J25" s="87">
        <f t="shared" si="1"/>
        <v>5.2</v>
      </c>
      <c r="K25" s="266">
        <v>0</v>
      </c>
      <c r="L25" s="266">
        <v>7.2799999999999994</v>
      </c>
      <c r="M25" s="260"/>
      <c r="N25" s="87">
        <f t="shared" si="2"/>
        <v>7.2799999999999994</v>
      </c>
      <c r="O25" s="266">
        <v>10</v>
      </c>
      <c r="P25" s="266">
        <f>(((1.4+1)*1.3)*2)*2</f>
        <v>12.48</v>
      </c>
      <c r="Q25" s="260">
        <f>+[5]Januari!Q25</f>
        <v>200</v>
      </c>
      <c r="R25" s="87">
        <f t="shared" si="3"/>
        <v>222.48</v>
      </c>
      <c r="S25" s="259">
        <v>0</v>
      </c>
      <c r="T25" s="266">
        <v>10.4</v>
      </c>
      <c r="U25" s="260">
        <v>70</v>
      </c>
      <c r="V25" s="87">
        <f t="shared" si="4"/>
        <v>80.400000000000006</v>
      </c>
      <c r="W25" s="266">
        <v>0</v>
      </c>
      <c r="X25" s="266">
        <v>0</v>
      </c>
      <c r="Y25" s="260">
        <f>50+[3]Januari!AX23</f>
        <v>50</v>
      </c>
      <c r="Z25" s="87">
        <f t="shared" si="5"/>
        <v>50</v>
      </c>
      <c r="AA25" s="94">
        <f t="shared" si="12"/>
        <v>425.36</v>
      </c>
      <c r="AB25" s="96" t="s">
        <v>53</v>
      </c>
      <c r="AC25" s="138"/>
      <c r="AD25" s="146">
        <v>18</v>
      </c>
      <c r="AE25" s="147" t="s">
        <v>21</v>
      </c>
      <c r="AF25" s="141">
        <f t="shared" si="15"/>
        <v>10</v>
      </c>
      <c r="AG25" s="141">
        <f t="shared" si="15"/>
        <v>35.36</v>
      </c>
      <c r="AH25" s="141">
        <f t="shared" si="16"/>
        <v>380</v>
      </c>
      <c r="AI25" s="108"/>
      <c r="AJ25" s="148">
        <v>18</v>
      </c>
      <c r="AK25" s="149" t="s">
        <v>21</v>
      </c>
      <c r="AL25" s="144">
        <f t="shared" si="8"/>
        <v>10</v>
      </c>
      <c r="AM25" s="145">
        <f t="shared" si="9"/>
        <v>2.3509497837126199E-2</v>
      </c>
      <c r="AN25" s="144">
        <f t="shared" si="13"/>
        <v>35.36</v>
      </c>
      <c r="AO25" s="145">
        <f t="shared" si="10"/>
        <v>8.3129584352078234E-2</v>
      </c>
      <c r="AP25" s="144">
        <f t="shared" si="14"/>
        <v>380</v>
      </c>
      <c r="AQ25" s="145">
        <f t="shared" si="11"/>
        <v>0.89336091781079552</v>
      </c>
    </row>
    <row r="26" spans="1:43" x14ac:dyDescent="0.25">
      <c r="A26" s="156">
        <v>19</v>
      </c>
      <c r="B26" s="157" t="s">
        <v>22</v>
      </c>
      <c r="C26" s="266">
        <v>0</v>
      </c>
      <c r="D26" s="266">
        <v>5.2</v>
      </c>
      <c r="E26" s="260">
        <f>+[5]Januari!E26</f>
        <v>0</v>
      </c>
      <c r="F26" s="87">
        <f t="shared" si="0"/>
        <v>5.2</v>
      </c>
      <c r="G26" s="266">
        <v>160</v>
      </c>
      <c r="H26" s="266">
        <v>0</v>
      </c>
      <c r="I26" s="260">
        <v>169</v>
      </c>
      <c r="J26" s="87">
        <f t="shared" si="1"/>
        <v>329</v>
      </c>
      <c r="K26" s="266">
        <v>0</v>
      </c>
      <c r="L26" s="266">
        <v>8.84</v>
      </c>
      <c r="M26" s="260"/>
      <c r="N26" s="87">
        <f t="shared" si="2"/>
        <v>8.84</v>
      </c>
      <c r="O26" s="266">
        <v>18</v>
      </c>
      <c r="P26" s="266">
        <v>7.8000000000000007</v>
      </c>
      <c r="Q26" s="260">
        <f>+[5]Januari!Q26</f>
        <v>0</v>
      </c>
      <c r="R26" s="87">
        <f t="shared" si="3"/>
        <v>25.8</v>
      </c>
      <c r="S26" s="259">
        <v>0</v>
      </c>
      <c r="T26" s="266">
        <v>0</v>
      </c>
      <c r="U26" s="260"/>
      <c r="V26" s="87">
        <f t="shared" si="4"/>
        <v>0</v>
      </c>
      <c r="W26" s="266">
        <v>0</v>
      </c>
      <c r="X26" s="266">
        <v>5.2</v>
      </c>
      <c r="Y26" s="260">
        <f>50+[3]Januari!AX24</f>
        <v>50</v>
      </c>
      <c r="Z26" s="87">
        <f t="shared" si="5"/>
        <v>55.2</v>
      </c>
      <c r="AA26" s="94">
        <f t="shared" si="12"/>
        <v>424.03999999999996</v>
      </c>
      <c r="AB26" s="96" t="s">
        <v>53</v>
      </c>
      <c r="AC26" s="138"/>
      <c r="AD26" s="146">
        <v>19</v>
      </c>
      <c r="AE26" s="147" t="s">
        <v>22</v>
      </c>
      <c r="AF26" s="141">
        <f t="shared" si="15"/>
        <v>178</v>
      </c>
      <c r="AG26" s="141">
        <f t="shared" si="15"/>
        <v>27.04</v>
      </c>
      <c r="AH26" s="141">
        <f t="shared" si="16"/>
        <v>219</v>
      </c>
      <c r="AI26" s="108"/>
      <c r="AJ26" s="148">
        <v>19</v>
      </c>
      <c r="AK26" s="149" t="s">
        <v>22</v>
      </c>
      <c r="AL26" s="144">
        <f t="shared" si="8"/>
        <v>178</v>
      </c>
      <c r="AM26" s="145">
        <f t="shared" si="9"/>
        <v>0.41977171964908977</v>
      </c>
      <c r="AN26" s="144">
        <f t="shared" si="13"/>
        <v>27.04</v>
      </c>
      <c r="AO26" s="145">
        <f t="shared" si="10"/>
        <v>6.3767569097254978E-2</v>
      </c>
      <c r="AP26" s="144">
        <f t="shared" si="14"/>
        <v>219</v>
      </c>
      <c r="AQ26" s="145">
        <f t="shared" si="11"/>
        <v>0.51646071125365534</v>
      </c>
    </row>
    <row r="27" spans="1:43" x14ac:dyDescent="0.25">
      <c r="A27" s="156">
        <v>20</v>
      </c>
      <c r="B27" s="157" t="s">
        <v>23</v>
      </c>
      <c r="C27" s="266">
        <v>200</v>
      </c>
      <c r="D27" s="266">
        <f>(((4.5+1)*1.3)*2)*2</f>
        <v>28.6</v>
      </c>
      <c r="E27" s="260">
        <v>220</v>
      </c>
      <c r="F27" s="87">
        <f t="shared" si="0"/>
        <v>448.6</v>
      </c>
      <c r="G27" s="266">
        <v>151.6</v>
      </c>
      <c r="H27" s="266">
        <f>(((4.8+1)*1.3)*2)*2</f>
        <v>30.16</v>
      </c>
      <c r="I27" s="260">
        <v>105</v>
      </c>
      <c r="J27" s="87">
        <f t="shared" si="1"/>
        <v>286.76</v>
      </c>
      <c r="K27" s="266">
        <v>200</v>
      </c>
      <c r="L27" s="266">
        <v>14.559999999999999</v>
      </c>
      <c r="M27" s="260">
        <v>218.1</v>
      </c>
      <c r="N27" s="87">
        <f t="shared" si="2"/>
        <v>432.65999999999997</v>
      </c>
      <c r="O27" s="266">
        <v>98.8</v>
      </c>
      <c r="P27" s="266">
        <f>(((2.2+2)*1.3)*2)*2</f>
        <v>21.840000000000003</v>
      </c>
      <c r="Q27" s="260">
        <f>+[5]Januari!Q27</f>
        <v>200</v>
      </c>
      <c r="R27" s="87">
        <f t="shared" si="3"/>
        <v>320.64</v>
      </c>
      <c r="S27" s="259">
        <v>0</v>
      </c>
      <c r="T27" s="266">
        <f>(((1+1)*1.3)*2)*2</f>
        <v>10.4</v>
      </c>
      <c r="U27" s="260">
        <v>50</v>
      </c>
      <c r="V27" s="87">
        <f t="shared" si="4"/>
        <v>60.4</v>
      </c>
      <c r="W27" s="266">
        <v>100</v>
      </c>
      <c r="X27" s="266">
        <v>5.2</v>
      </c>
      <c r="Y27" s="260">
        <f>50+[3]Januari!AX25</f>
        <v>50</v>
      </c>
      <c r="Z27" s="87">
        <f t="shared" si="5"/>
        <v>155.19999999999999</v>
      </c>
      <c r="AA27" s="94">
        <f t="shared" si="12"/>
        <v>1704.26</v>
      </c>
      <c r="AB27" s="96" t="s">
        <v>53</v>
      </c>
      <c r="AC27" s="138"/>
      <c r="AD27" s="146">
        <v>20</v>
      </c>
      <c r="AE27" s="147" t="s">
        <v>23</v>
      </c>
      <c r="AF27" s="141">
        <f t="shared" si="15"/>
        <v>750.4</v>
      </c>
      <c r="AG27" s="141">
        <f t="shared" si="15"/>
        <v>110.76000000000002</v>
      </c>
      <c r="AH27" s="141">
        <f t="shared" si="16"/>
        <v>843.1</v>
      </c>
      <c r="AI27" s="108"/>
      <c r="AJ27" s="148">
        <v>20</v>
      </c>
      <c r="AK27" s="149" t="s">
        <v>23</v>
      </c>
      <c r="AL27" s="144">
        <f t="shared" si="8"/>
        <v>750.4</v>
      </c>
      <c r="AM27" s="145">
        <f t="shared" si="9"/>
        <v>0.44030840364733081</v>
      </c>
      <c r="AN27" s="144">
        <f t="shared" si="13"/>
        <v>110.76000000000002</v>
      </c>
      <c r="AO27" s="145">
        <f t="shared" si="10"/>
        <v>6.4990083672679069E-2</v>
      </c>
      <c r="AP27" s="144">
        <f t="shared" si="14"/>
        <v>843.1</v>
      </c>
      <c r="AQ27" s="145">
        <f t="shared" si="11"/>
        <v>0.49470151267999019</v>
      </c>
    </row>
    <row r="28" spans="1:43" x14ac:dyDescent="0.25">
      <c r="A28" s="156">
        <v>21</v>
      </c>
      <c r="B28" s="157" t="s">
        <v>24</v>
      </c>
      <c r="C28" s="266">
        <v>120</v>
      </c>
      <c r="D28" s="266">
        <v>0</v>
      </c>
      <c r="E28" s="260">
        <v>80</v>
      </c>
      <c r="F28" s="87">
        <f t="shared" si="0"/>
        <v>200</v>
      </c>
      <c r="G28" s="266">
        <v>1267.2</v>
      </c>
      <c r="H28" s="266">
        <v>5.7200000000000006</v>
      </c>
      <c r="I28" s="260">
        <v>622</v>
      </c>
      <c r="J28" s="87">
        <f t="shared" si="1"/>
        <v>1894.92</v>
      </c>
      <c r="K28" s="266">
        <v>160</v>
      </c>
      <c r="L28" s="266">
        <v>4.6800000000000006</v>
      </c>
      <c r="M28" s="260">
        <v>229.9</v>
      </c>
      <c r="N28" s="87">
        <f t="shared" si="2"/>
        <v>394.58000000000004</v>
      </c>
      <c r="O28" s="266">
        <v>95.2</v>
      </c>
      <c r="P28" s="266">
        <v>19.240000000000002</v>
      </c>
      <c r="Q28" s="260">
        <f>+[5]Januari!Q28</f>
        <v>130</v>
      </c>
      <c r="R28" s="87">
        <f t="shared" si="3"/>
        <v>244.44</v>
      </c>
      <c r="S28" s="259">
        <v>0</v>
      </c>
      <c r="T28" s="266">
        <f>(((1+1)*1.3)*2)*2</f>
        <v>10.4</v>
      </c>
      <c r="U28" s="260"/>
      <c r="V28" s="87">
        <f t="shared" si="4"/>
        <v>10.4</v>
      </c>
      <c r="W28" s="266">
        <v>100</v>
      </c>
      <c r="X28" s="266">
        <v>5.2</v>
      </c>
      <c r="Y28" s="260">
        <f>50+[3]Januari!AX26</f>
        <v>50</v>
      </c>
      <c r="Z28" s="87">
        <f t="shared" si="5"/>
        <v>155.19999999999999</v>
      </c>
      <c r="AA28" s="94">
        <f t="shared" si="12"/>
        <v>2899.54</v>
      </c>
      <c r="AB28" s="96" t="s">
        <v>53</v>
      </c>
      <c r="AC28" s="138"/>
      <c r="AD28" s="146">
        <v>21</v>
      </c>
      <c r="AE28" s="147" t="s">
        <v>24</v>
      </c>
      <c r="AF28" s="141">
        <f t="shared" si="15"/>
        <v>1742.4</v>
      </c>
      <c r="AG28" s="141">
        <f t="shared" si="15"/>
        <v>45.240000000000009</v>
      </c>
      <c r="AH28" s="141">
        <f t="shared" si="16"/>
        <v>1111.9000000000001</v>
      </c>
      <c r="AI28" s="108"/>
      <c r="AJ28" s="148">
        <v>21</v>
      </c>
      <c r="AK28" s="149" t="s">
        <v>24</v>
      </c>
      <c r="AL28" s="144">
        <f t="shared" si="8"/>
        <v>1742.4</v>
      </c>
      <c r="AM28" s="145">
        <f t="shared" si="9"/>
        <v>0.60092290501251922</v>
      </c>
      <c r="AN28" s="144">
        <f t="shared" si="13"/>
        <v>45.240000000000009</v>
      </c>
      <c r="AO28" s="145">
        <f t="shared" si="10"/>
        <v>1.5602474875325055E-2</v>
      </c>
      <c r="AP28" s="144">
        <f t="shared" si="14"/>
        <v>1111.9000000000001</v>
      </c>
      <c r="AQ28" s="145">
        <f t="shared" si="11"/>
        <v>0.38347462011215577</v>
      </c>
    </row>
    <row r="29" spans="1:43" x14ac:dyDescent="0.25">
      <c r="A29" s="156">
        <v>22</v>
      </c>
      <c r="B29" s="157" t="s">
        <v>25</v>
      </c>
      <c r="C29" s="266">
        <v>240</v>
      </c>
      <c r="D29" s="266">
        <v>0</v>
      </c>
      <c r="E29" s="260">
        <v>1540</v>
      </c>
      <c r="F29" s="87">
        <f t="shared" si="0"/>
        <v>1780</v>
      </c>
      <c r="G29" s="266">
        <v>68.400000000000006</v>
      </c>
      <c r="H29" s="266">
        <f>(((1.4+1)*1.3)*2)*2</f>
        <v>12.48</v>
      </c>
      <c r="I29" s="260">
        <f>+[5]Januari!I40</f>
        <v>7.2279999999999998</v>
      </c>
      <c r="J29" s="87">
        <f t="shared" si="1"/>
        <v>88.108000000000004</v>
      </c>
      <c r="K29" s="266">
        <v>240</v>
      </c>
      <c r="L29" s="266">
        <v>15.08</v>
      </c>
      <c r="M29" s="260">
        <v>200.5</v>
      </c>
      <c r="N29" s="87">
        <f t="shared" si="2"/>
        <v>455.58000000000004</v>
      </c>
      <c r="O29" s="266">
        <v>90.8</v>
      </c>
      <c r="P29" s="266">
        <f>(((1.4+1)*1.3)*2)*2</f>
        <v>12.48</v>
      </c>
      <c r="Q29" s="260">
        <f>+[5]Januari!Q29</f>
        <v>231</v>
      </c>
      <c r="R29" s="87">
        <f t="shared" si="3"/>
        <v>334.28</v>
      </c>
      <c r="S29" s="259">
        <v>0</v>
      </c>
      <c r="T29" s="266">
        <f>(((1+2)*1.3)*2)*2</f>
        <v>15.600000000000001</v>
      </c>
      <c r="U29" s="260">
        <v>80</v>
      </c>
      <c r="V29" s="87">
        <f t="shared" si="4"/>
        <v>95.6</v>
      </c>
      <c r="W29" s="266">
        <v>100</v>
      </c>
      <c r="X29" s="266">
        <v>5.2</v>
      </c>
      <c r="Y29" s="260">
        <f>50+[3]Januari!AX27</f>
        <v>50</v>
      </c>
      <c r="Z29" s="87">
        <f t="shared" si="5"/>
        <v>155.19999999999999</v>
      </c>
      <c r="AA29" s="94">
        <f t="shared" si="12"/>
        <v>2908.7679999999996</v>
      </c>
      <c r="AB29" s="96" t="s">
        <v>53</v>
      </c>
      <c r="AC29" s="138"/>
      <c r="AD29" s="146">
        <v>22</v>
      </c>
      <c r="AE29" s="147" t="s">
        <v>25</v>
      </c>
      <c r="AF29" s="141">
        <f t="shared" si="15"/>
        <v>739.19999999999993</v>
      </c>
      <c r="AG29" s="141">
        <f t="shared" si="15"/>
        <v>60.840000000000011</v>
      </c>
      <c r="AH29" s="141">
        <f t="shared" si="16"/>
        <v>2108.7280000000001</v>
      </c>
      <c r="AI29" s="108"/>
      <c r="AJ29" s="148">
        <v>22</v>
      </c>
      <c r="AK29" s="149" t="s">
        <v>25</v>
      </c>
      <c r="AL29" s="144">
        <f t="shared" si="8"/>
        <v>739.19999999999993</v>
      </c>
      <c r="AM29" s="145">
        <f t="shared" si="9"/>
        <v>0.25412820823111365</v>
      </c>
      <c r="AN29" s="144">
        <f t="shared" si="13"/>
        <v>60.840000000000011</v>
      </c>
      <c r="AO29" s="145">
        <f t="shared" si="10"/>
        <v>2.0916071683956927E-2</v>
      </c>
      <c r="AP29" s="144">
        <f t="shared" si="14"/>
        <v>2108.7280000000001</v>
      </c>
      <c r="AQ29" s="145">
        <f t="shared" si="11"/>
        <v>0.72495572008492959</v>
      </c>
    </row>
    <row r="30" spans="1:43" x14ac:dyDescent="0.25">
      <c r="A30" s="156">
        <v>23</v>
      </c>
      <c r="B30" s="157" t="s">
        <v>26</v>
      </c>
      <c r="C30" s="266">
        <v>120</v>
      </c>
      <c r="D30" s="266">
        <f>(((2.4+1)*1.3)*2)*2</f>
        <v>17.68</v>
      </c>
      <c r="E30" s="260">
        <v>203</v>
      </c>
      <c r="F30" s="87">
        <f t="shared" si="0"/>
        <v>340.68</v>
      </c>
      <c r="G30" s="266">
        <v>465.6</v>
      </c>
      <c r="H30" s="266">
        <v>7.2799999999999994</v>
      </c>
      <c r="I30" s="260">
        <v>214</v>
      </c>
      <c r="J30" s="87">
        <f t="shared" si="1"/>
        <v>686.88</v>
      </c>
      <c r="K30" s="266">
        <v>80</v>
      </c>
      <c r="L30" s="266">
        <v>7.2799999999999994</v>
      </c>
      <c r="M30" s="260">
        <v>205</v>
      </c>
      <c r="N30" s="87">
        <f t="shared" si="2"/>
        <v>292.27999999999997</v>
      </c>
      <c r="O30" s="266">
        <v>97.2</v>
      </c>
      <c r="P30" s="266">
        <v>5.7200000000000006</v>
      </c>
      <c r="Q30" s="260">
        <f>+[5]Januari!Q30</f>
        <v>233</v>
      </c>
      <c r="R30" s="87">
        <f t="shared" si="3"/>
        <v>335.92</v>
      </c>
      <c r="S30" s="259">
        <v>0</v>
      </c>
      <c r="T30" s="266">
        <f>(((1+1)*1.3)*2)*2</f>
        <v>10.4</v>
      </c>
      <c r="U30" s="260">
        <v>100</v>
      </c>
      <c r="V30" s="87">
        <f t="shared" si="4"/>
        <v>110.4</v>
      </c>
      <c r="W30" s="266">
        <v>100</v>
      </c>
      <c r="X30" s="266">
        <f>(((1+1)*1.3)*2)*2</f>
        <v>10.4</v>
      </c>
      <c r="Y30" s="260">
        <f>50+[3]Januari!AX28</f>
        <v>50</v>
      </c>
      <c r="Z30" s="87">
        <f t="shared" si="5"/>
        <v>160.4</v>
      </c>
      <c r="AA30" s="94">
        <f t="shared" si="12"/>
        <v>1926.5600000000002</v>
      </c>
      <c r="AB30" s="96" t="s">
        <v>53</v>
      </c>
      <c r="AC30" s="138"/>
      <c r="AD30" s="146">
        <v>23</v>
      </c>
      <c r="AE30" s="147" t="s">
        <v>26</v>
      </c>
      <c r="AF30" s="141">
        <f t="shared" si="15"/>
        <v>862.80000000000007</v>
      </c>
      <c r="AG30" s="141">
        <f t="shared" si="15"/>
        <v>58.76</v>
      </c>
      <c r="AH30" s="141">
        <f t="shared" si="16"/>
        <v>1005</v>
      </c>
      <c r="AI30" s="108"/>
      <c r="AJ30" s="148">
        <v>23</v>
      </c>
      <c r="AK30" s="149" t="s">
        <v>26</v>
      </c>
      <c r="AL30" s="144">
        <f t="shared" si="8"/>
        <v>862.80000000000007</v>
      </c>
      <c r="AM30" s="145">
        <f t="shared" si="9"/>
        <v>0.44784486338343993</v>
      </c>
      <c r="AN30" s="144">
        <f t="shared" si="13"/>
        <v>58.76</v>
      </c>
      <c r="AO30" s="145">
        <f t="shared" si="10"/>
        <v>3.0499958475209695E-2</v>
      </c>
      <c r="AP30" s="144">
        <f t="shared" si="14"/>
        <v>1005</v>
      </c>
      <c r="AQ30" s="145">
        <f t="shared" si="11"/>
        <v>0.52165517814135032</v>
      </c>
    </row>
    <row r="31" spans="1:43" x14ac:dyDescent="0.25">
      <c r="A31" s="156">
        <v>24</v>
      </c>
      <c r="B31" s="157" t="s">
        <v>27</v>
      </c>
      <c r="C31" s="266">
        <v>200</v>
      </c>
      <c r="D31" s="266">
        <v>0</v>
      </c>
      <c r="E31" s="260">
        <v>402</v>
      </c>
      <c r="F31" s="87">
        <f t="shared" si="0"/>
        <v>602</v>
      </c>
      <c r="G31" s="266">
        <v>68.400000000000006</v>
      </c>
      <c r="H31" s="266">
        <v>21.32</v>
      </c>
      <c r="I31" s="260">
        <v>0</v>
      </c>
      <c r="J31" s="87">
        <f t="shared" si="1"/>
        <v>89.72</v>
      </c>
      <c r="K31" s="266">
        <v>400</v>
      </c>
      <c r="L31" s="266">
        <v>19.759999999999998</v>
      </c>
      <c r="M31" s="260">
        <v>564</v>
      </c>
      <c r="N31" s="87">
        <f t="shared" si="2"/>
        <v>983.76</v>
      </c>
      <c r="O31" s="266">
        <v>95.6</v>
      </c>
      <c r="P31" s="266">
        <f>(((3.6+1)*1.3)*2)*2</f>
        <v>23.919999999999998</v>
      </c>
      <c r="Q31" s="260">
        <f>+[5]Januari!Q31</f>
        <v>422.5</v>
      </c>
      <c r="R31" s="87">
        <f t="shared" si="3"/>
        <v>542.02</v>
      </c>
      <c r="S31" s="259">
        <v>0</v>
      </c>
      <c r="T31" s="266">
        <f>(((1+1)*1.3)*2)*2</f>
        <v>10.4</v>
      </c>
      <c r="U31" s="260">
        <v>90</v>
      </c>
      <c r="V31" s="87">
        <f t="shared" si="4"/>
        <v>100.4</v>
      </c>
      <c r="W31" s="266">
        <v>100</v>
      </c>
      <c r="X31" s="266">
        <v>5.2</v>
      </c>
      <c r="Y31" s="260">
        <f>50+[3]Januari!AX29</f>
        <v>50</v>
      </c>
      <c r="Z31" s="87">
        <f t="shared" si="5"/>
        <v>155.19999999999999</v>
      </c>
      <c r="AA31" s="94">
        <f t="shared" si="12"/>
        <v>2473.1</v>
      </c>
      <c r="AB31" s="96" t="s">
        <v>53</v>
      </c>
      <c r="AC31" s="138"/>
      <c r="AD31" s="146">
        <v>24</v>
      </c>
      <c r="AE31" s="147" t="s">
        <v>27</v>
      </c>
      <c r="AF31" s="141">
        <f t="shared" si="15"/>
        <v>864</v>
      </c>
      <c r="AG31" s="141">
        <f t="shared" si="15"/>
        <v>80.600000000000009</v>
      </c>
      <c r="AH31" s="141">
        <f t="shared" si="16"/>
        <v>1528.5</v>
      </c>
      <c r="AI31" s="108"/>
      <c r="AJ31" s="148">
        <v>24</v>
      </c>
      <c r="AK31" s="149" t="s">
        <v>27</v>
      </c>
      <c r="AL31" s="144">
        <f t="shared" si="8"/>
        <v>864</v>
      </c>
      <c r="AM31" s="145">
        <f t="shared" si="9"/>
        <v>0.34935910395859449</v>
      </c>
      <c r="AN31" s="144">
        <f t="shared" si="13"/>
        <v>80.600000000000009</v>
      </c>
      <c r="AO31" s="145">
        <f t="shared" si="10"/>
        <v>3.2590675670211483E-2</v>
      </c>
      <c r="AP31" s="144">
        <f t="shared" si="14"/>
        <v>1528.5</v>
      </c>
      <c r="AQ31" s="145">
        <f t="shared" si="11"/>
        <v>0.61805022037119406</v>
      </c>
    </row>
    <row r="32" spans="1:43" x14ac:dyDescent="0.25">
      <c r="A32" s="156">
        <v>25</v>
      </c>
      <c r="B32" s="157" t="s">
        <v>28</v>
      </c>
      <c r="C32" s="266">
        <v>400</v>
      </c>
      <c r="D32" s="266">
        <v>0</v>
      </c>
      <c r="E32" s="260">
        <v>218</v>
      </c>
      <c r="F32" s="87">
        <f t="shared" si="0"/>
        <v>618</v>
      </c>
      <c r="G32" s="266">
        <v>0</v>
      </c>
      <c r="H32" s="266">
        <v>5.2</v>
      </c>
      <c r="I32" s="260">
        <v>0</v>
      </c>
      <c r="J32" s="87">
        <f t="shared" si="1"/>
        <v>5.2</v>
      </c>
      <c r="K32" s="266">
        <v>360</v>
      </c>
      <c r="L32" s="266">
        <v>6.24</v>
      </c>
      <c r="M32" s="260">
        <v>526</v>
      </c>
      <c r="N32" s="87">
        <f t="shared" si="2"/>
        <v>892.24</v>
      </c>
      <c r="O32" s="266">
        <v>12.4</v>
      </c>
      <c r="P32" s="266">
        <v>4.16</v>
      </c>
      <c r="Q32" s="260">
        <f>+[5]Januari!Q32</f>
        <v>317</v>
      </c>
      <c r="R32" s="87">
        <f t="shared" si="3"/>
        <v>333.56</v>
      </c>
      <c r="S32" s="259">
        <v>0</v>
      </c>
      <c r="T32" s="266">
        <v>0</v>
      </c>
      <c r="U32" s="260"/>
      <c r="V32" s="87">
        <f t="shared" si="4"/>
        <v>0</v>
      </c>
      <c r="W32" s="266">
        <v>0</v>
      </c>
      <c r="X32" s="266">
        <v>0</v>
      </c>
      <c r="Y32" s="260">
        <f>50+[3]Januari!AX30</f>
        <v>50</v>
      </c>
      <c r="Z32" s="87">
        <f t="shared" si="5"/>
        <v>50</v>
      </c>
      <c r="AA32" s="94">
        <f t="shared" si="12"/>
        <v>1899</v>
      </c>
      <c r="AB32" s="96" t="s">
        <v>53</v>
      </c>
      <c r="AC32" s="138"/>
      <c r="AD32" s="146">
        <v>25</v>
      </c>
      <c r="AE32" s="147" t="s">
        <v>28</v>
      </c>
      <c r="AF32" s="141">
        <f t="shared" si="15"/>
        <v>772.4</v>
      </c>
      <c r="AG32" s="141">
        <f t="shared" si="15"/>
        <v>15.600000000000001</v>
      </c>
      <c r="AH32" s="141">
        <f t="shared" si="16"/>
        <v>1111</v>
      </c>
      <c r="AI32" s="108"/>
      <c r="AJ32" s="148">
        <v>25</v>
      </c>
      <c r="AK32" s="149" t="s">
        <v>28</v>
      </c>
      <c r="AL32" s="144">
        <f t="shared" si="8"/>
        <v>772.4</v>
      </c>
      <c r="AM32" s="145">
        <f t="shared" si="9"/>
        <v>0.40674038967877829</v>
      </c>
      <c r="AN32" s="144">
        <f t="shared" si="13"/>
        <v>15.600000000000001</v>
      </c>
      <c r="AO32" s="145">
        <f t="shared" si="10"/>
        <v>8.2148499210110588E-3</v>
      </c>
      <c r="AP32" s="144">
        <f t="shared" si="14"/>
        <v>1111</v>
      </c>
      <c r="AQ32" s="145">
        <f t="shared" si="11"/>
        <v>0.58504476040021058</v>
      </c>
    </row>
    <row r="33" spans="1:43" x14ac:dyDescent="0.25">
      <c r="A33" s="156">
        <v>26</v>
      </c>
      <c r="B33" s="157" t="s">
        <v>29</v>
      </c>
      <c r="C33" s="266">
        <v>0</v>
      </c>
      <c r="D33" s="266">
        <v>5.2</v>
      </c>
      <c r="E33" s="260">
        <v>0</v>
      </c>
      <c r="F33" s="87">
        <f t="shared" si="0"/>
        <v>5.2</v>
      </c>
      <c r="G33" s="266">
        <v>0</v>
      </c>
      <c r="H33" s="266">
        <v>0</v>
      </c>
      <c r="I33" s="260">
        <v>0</v>
      </c>
      <c r="J33" s="87">
        <f t="shared" si="1"/>
        <v>0</v>
      </c>
      <c r="K33" s="266">
        <v>0</v>
      </c>
      <c r="L33" s="266">
        <v>7.8000000000000007</v>
      </c>
      <c r="M33" s="260"/>
      <c r="N33" s="87">
        <f t="shared" si="2"/>
        <v>7.8000000000000007</v>
      </c>
      <c r="O33" s="266">
        <v>11.6</v>
      </c>
      <c r="P33" s="266">
        <v>14.559999999999999</v>
      </c>
      <c r="Q33" s="260">
        <f>+[5]Januari!Q33</f>
        <v>0</v>
      </c>
      <c r="R33" s="87">
        <f t="shared" si="3"/>
        <v>26.159999999999997</v>
      </c>
      <c r="S33" s="259">
        <v>0</v>
      </c>
      <c r="T33" s="266">
        <v>5.2</v>
      </c>
      <c r="U33" s="260"/>
      <c r="V33" s="87">
        <f t="shared" si="4"/>
        <v>5.2</v>
      </c>
      <c r="W33" s="266">
        <v>0</v>
      </c>
      <c r="X33" s="266">
        <v>0</v>
      </c>
      <c r="Y33" s="260">
        <f>50+[3]Januari!AX31</f>
        <v>50</v>
      </c>
      <c r="Z33" s="87">
        <f t="shared" si="5"/>
        <v>50</v>
      </c>
      <c r="AA33" s="94">
        <f t="shared" si="12"/>
        <v>94.36</v>
      </c>
      <c r="AB33" s="96" t="s">
        <v>53</v>
      </c>
      <c r="AC33" s="138"/>
      <c r="AD33" s="146">
        <v>26</v>
      </c>
      <c r="AE33" s="147" t="s">
        <v>29</v>
      </c>
      <c r="AF33" s="141">
        <f t="shared" si="15"/>
        <v>11.6</v>
      </c>
      <c r="AG33" s="141">
        <f t="shared" si="15"/>
        <v>32.76</v>
      </c>
      <c r="AH33" s="141">
        <f t="shared" si="16"/>
        <v>50</v>
      </c>
      <c r="AI33" s="108"/>
      <c r="AJ33" s="148">
        <v>26</v>
      </c>
      <c r="AK33" s="149" t="s">
        <v>29</v>
      </c>
      <c r="AL33" s="144">
        <f t="shared" si="8"/>
        <v>11.6</v>
      </c>
      <c r="AM33" s="145">
        <f t="shared" si="9"/>
        <v>0.12293344637558287</v>
      </c>
      <c r="AN33" s="144">
        <f t="shared" si="13"/>
        <v>32.76</v>
      </c>
      <c r="AO33" s="145">
        <f t="shared" si="10"/>
        <v>0.34718100890207715</v>
      </c>
      <c r="AP33" s="144">
        <f t="shared" si="14"/>
        <v>50</v>
      </c>
      <c r="AQ33" s="145">
        <f t="shared" si="11"/>
        <v>0.52988554472233995</v>
      </c>
    </row>
    <row r="34" spans="1:43" x14ac:dyDescent="0.25">
      <c r="A34" s="156">
        <v>27</v>
      </c>
      <c r="B34" s="157" t="s">
        <v>30</v>
      </c>
      <c r="C34" s="266">
        <v>0</v>
      </c>
      <c r="D34" s="266">
        <v>0</v>
      </c>
      <c r="E34" s="260">
        <v>0</v>
      </c>
      <c r="F34" s="87">
        <f t="shared" si="0"/>
        <v>0</v>
      </c>
      <c r="G34" s="266">
        <v>0</v>
      </c>
      <c r="H34" s="266">
        <v>0</v>
      </c>
      <c r="I34" s="260">
        <v>0</v>
      </c>
      <c r="J34" s="87">
        <f t="shared" si="1"/>
        <v>0</v>
      </c>
      <c r="K34" s="266">
        <v>0</v>
      </c>
      <c r="L34" s="266">
        <v>10.4</v>
      </c>
      <c r="M34" s="260"/>
      <c r="N34" s="87">
        <f t="shared" si="2"/>
        <v>10.4</v>
      </c>
      <c r="O34" s="266">
        <v>14</v>
      </c>
      <c r="P34" s="266">
        <v>6.24</v>
      </c>
      <c r="Q34" s="260">
        <f>+[5]Januari!Q34</f>
        <v>0</v>
      </c>
      <c r="R34" s="87">
        <f t="shared" si="3"/>
        <v>20.240000000000002</v>
      </c>
      <c r="S34" s="259">
        <v>0</v>
      </c>
      <c r="T34" s="266">
        <v>0</v>
      </c>
      <c r="U34" s="260"/>
      <c r="V34" s="87">
        <f t="shared" si="4"/>
        <v>0</v>
      </c>
      <c r="W34" s="266">
        <v>0</v>
      </c>
      <c r="X34" s="266">
        <v>0</v>
      </c>
      <c r="Y34" s="260">
        <f>50+[3]Januari!AX32</f>
        <v>50</v>
      </c>
      <c r="Z34" s="87">
        <f t="shared" si="5"/>
        <v>50</v>
      </c>
      <c r="AA34" s="94">
        <f t="shared" si="12"/>
        <v>80.64</v>
      </c>
      <c r="AB34" s="96" t="s">
        <v>53</v>
      </c>
      <c r="AC34" s="138"/>
      <c r="AD34" s="146">
        <v>27</v>
      </c>
      <c r="AE34" s="147" t="s">
        <v>30</v>
      </c>
      <c r="AF34" s="141">
        <f t="shared" si="15"/>
        <v>14</v>
      </c>
      <c r="AG34" s="141">
        <f t="shared" si="15"/>
        <v>16.64</v>
      </c>
      <c r="AH34" s="141">
        <f t="shared" si="16"/>
        <v>50</v>
      </c>
      <c r="AI34" s="108"/>
      <c r="AJ34" s="148">
        <v>27</v>
      </c>
      <c r="AK34" s="149" t="s">
        <v>30</v>
      </c>
      <c r="AL34" s="144">
        <f t="shared" si="8"/>
        <v>14</v>
      </c>
      <c r="AM34" s="145">
        <f t="shared" si="9"/>
        <v>0.1736111111111111</v>
      </c>
      <c r="AN34" s="144">
        <f t="shared" si="13"/>
        <v>16.64</v>
      </c>
      <c r="AO34" s="145">
        <f t="shared" si="10"/>
        <v>0.20634920634920637</v>
      </c>
      <c r="AP34" s="144">
        <f t="shared" si="14"/>
        <v>50</v>
      </c>
      <c r="AQ34" s="145">
        <f t="shared" si="11"/>
        <v>0.62003968253968256</v>
      </c>
    </row>
    <row r="35" spans="1:43" x14ac:dyDescent="0.25">
      <c r="A35" s="156">
        <v>28</v>
      </c>
      <c r="B35" s="157" t="s">
        <v>31</v>
      </c>
      <c r="C35" s="266">
        <v>40</v>
      </c>
      <c r="D35" s="266">
        <v>0</v>
      </c>
      <c r="E35" s="260">
        <v>87</v>
      </c>
      <c r="F35" s="87">
        <f t="shared" si="0"/>
        <v>127</v>
      </c>
      <c r="G35" s="266">
        <v>0</v>
      </c>
      <c r="H35" s="266">
        <v>5.2</v>
      </c>
      <c r="I35" s="260">
        <v>0</v>
      </c>
      <c r="J35" s="87">
        <f t="shared" si="1"/>
        <v>5.2</v>
      </c>
      <c r="K35" s="266">
        <v>160</v>
      </c>
      <c r="L35" s="266">
        <v>16.64</v>
      </c>
      <c r="M35" s="260">
        <v>144</v>
      </c>
      <c r="N35" s="87">
        <f t="shared" si="2"/>
        <v>320.64</v>
      </c>
      <c r="O35" s="266">
        <v>14.8</v>
      </c>
      <c r="P35" s="266">
        <f>(((4.9+1)*1.3)*2)*2</f>
        <v>30.680000000000003</v>
      </c>
      <c r="Q35" s="260">
        <f>+[5]Januari!Q35</f>
        <v>98</v>
      </c>
      <c r="R35" s="87">
        <f t="shared" si="3"/>
        <v>143.48000000000002</v>
      </c>
      <c r="S35" s="259">
        <v>0</v>
      </c>
      <c r="T35" s="266">
        <v>15.600000000000001</v>
      </c>
      <c r="U35" s="260"/>
      <c r="V35" s="87">
        <f t="shared" si="4"/>
        <v>15.600000000000001</v>
      </c>
      <c r="W35" s="266">
        <v>0</v>
      </c>
      <c r="X35" s="266">
        <v>0</v>
      </c>
      <c r="Y35" s="260">
        <f>50+[3]Januari!AX33</f>
        <v>50</v>
      </c>
      <c r="Z35" s="87">
        <f t="shared" si="5"/>
        <v>50</v>
      </c>
      <c r="AA35" s="94">
        <f t="shared" si="12"/>
        <v>661.92</v>
      </c>
      <c r="AB35" s="96" t="s">
        <v>53</v>
      </c>
      <c r="AC35" s="138"/>
      <c r="AD35" s="146">
        <v>28</v>
      </c>
      <c r="AE35" s="147" t="s">
        <v>31</v>
      </c>
      <c r="AF35" s="141">
        <f t="shared" si="15"/>
        <v>214.8</v>
      </c>
      <c r="AG35" s="141">
        <f t="shared" si="15"/>
        <v>68.12</v>
      </c>
      <c r="AH35" s="141">
        <f t="shared" si="16"/>
        <v>379</v>
      </c>
      <c r="AI35" s="108"/>
      <c r="AJ35" s="148">
        <v>28</v>
      </c>
      <c r="AK35" s="149" t="s">
        <v>31</v>
      </c>
      <c r="AL35" s="144">
        <f t="shared" si="8"/>
        <v>214.8</v>
      </c>
      <c r="AM35" s="145">
        <f t="shared" si="9"/>
        <v>0.32451051486584487</v>
      </c>
      <c r="AN35" s="144">
        <f t="shared" si="13"/>
        <v>68.12</v>
      </c>
      <c r="AO35" s="145">
        <f t="shared" si="10"/>
        <v>0.10291273869954075</v>
      </c>
      <c r="AP35" s="144">
        <f t="shared" si="14"/>
        <v>379</v>
      </c>
      <c r="AQ35" s="145">
        <f t="shared" si="11"/>
        <v>0.57257674643461454</v>
      </c>
    </row>
    <row r="36" spans="1:43" x14ac:dyDescent="0.25">
      <c r="A36" s="156">
        <v>29</v>
      </c>
      <c r="B36" s="157" t="s">
        <v>32</v>
      </c>
      <c r="C36" s="266">
        <v>0</v>
      </c>
      <c r="D36" s="266">
        <v>0</v>
      </c>
      <c r="E36" s="260">
        <v>0</v>
      </c>
      <c r="F36" s="87">
        <f t="shared" si="0"/>
        <v>0</v>
      </c>
      <c r="G36" s="266">
        <v>0</v>
      </c>
      <c r="H36" s="266">
        <v>0</v>
      </c>
      <c r="I36" s="260">
        <v>0</v>
      </c>
      <c r="J36" s="87">
        <f t="shared" si="1"/>
        <v>0</v>
      </c>
      <c r="K36" s="266">
        <v>0</v>
      </c>
      <c r="L36" s="266">
        <v>7.8000000000000007</v>
      </c>
      <c r="M36" s="260"/>
      <c r="N36" s="87">
        <f t="shared" si="2"/>
        <v>7.8000000000000007</v>
      </c>
      <c r="O36" s="266">
        <v>11.6</v>
      </c>
      <c r="P36" s="266">
        <v>28.6</v>
      </c>
      <c r="Q36" s="260">
        <f>+[5]Januari!Q36</f>
        <v>0</v>
      </c>
      <c r="R36" s="87">
        <f t="shared" si="3"/>
        <v>40.200000000000003</v>
      </c>
      <c r="S36" s="259">
        <v>0</v>
      </c>
      <c r="T36" s="266">
        <v>0</v>
      </c>
      <c r="U36" s="260"/>
      <c r="V36" s="87">
        <f t="shared" si="4"/>
        <v>0</v>
      </c>
      <c r="W36" s="266">
        <v>0</v>
      </c>
      <c r="X36" s="266">
        <v>0</v>
      </c>
      <c r="Y36" s="260">
        <f>50+[3]Januari!AX34</f>
        <v>50</v>
      </c>
      <c r="Z36" s="87">
        <f t="shared" si="5"/>
        <v>50</v>
      </c>
      <c r="AA36" s="94">
        <f t="shared" si="12"/>
        <v>98</v>
      </c>
      <c r="AB36" s="96" t="s">
        <v>53</v>
      </c>
      <c r="AC36" s="138"/>
      <c r="AD36" s="146">
        <v>29</v>
      </c>
      <c r="AE36" s="147" t="s">
        <v>32</v>
      </c>
      <c r="AF36" s="141">
        <f t="shared" si="15"/>
        <v>11.6</v>
      </c>
      <c r="AG36" s="141">
        <f t="shared" si="15"/>
        <v>36.400000000000006</v>
      </c>
      <c r="AH36" s="141">
        <f t="shared" si="16"/>
        <v>50</v>
      </c>
      <c r="AI36" s="108"/>
      <c r="AJ36" s="148">
        <v>29</v>
      </c>
      <c r="AK36" s="149" t="s">
        <v>32</v>
      </c>
      <c r="AL36" s="144">
        <f t="shared" si="8"/>
        <v>11.6</v>
      </c>
      <c r="AM36" s="145">
        <f t="shared" si="9"/>
        <v>0.1183673469387755</v>
      </c>
      <c r="AN36" s="144">
        <f t="shared" si="13"/>
        <v>36.400000000000006</v>
      </c>
      <c r="AO36" s="145">
        <f t="shared" si="10"/>
        <v>0.3714285714285715</v>
      </c>
      <c r="AP36" s="144">
        <f t="shared" si="14"/>
        <v>50</v>
      </c>
      <c r="AQ36" s="145">
        <f t="shared" si="11"/>
        <v>0.51020408163265307</v>
      </c>
    </row>
    <row r="37" spans="1:43" x14ac:dyDescent="0.25">
      <c r="A37" s="156">
        <v>30</v>
      </c>
      <c r="B37" s="157" t="s">
        <v>33</v>
      </c>
      <c r="C37" s="266">
        <v>112</v>
      </c>
      <c r="D37" s="266">
        <f>(((3.8+1)*1.3)*2)*2</f>
        <v>24.96</v>
      </c>
      <c r="E37" s="260">
        <v>200</v>
      </c>
      <c r="F37" s="87">
        <f t="shared" si="0"/>
        <v>336.96000000000004</v>
      </c>
      <c r="G37" s="266">
        <v>76.8</v>
      </c>
      <c r="H37" s="266">
        <f>(((3.5+2)*1.3)*2)*2</f>
        <v>28.6</v>
      </c>
      <c r="I37" s="260">
        <v>0</v>
      </c>
      <c r="J37" s="87">
        <f t="shared" si="1"/>
        <v>105.4</v>
      </c>
      <c r="K37" s="266">
        <v>120</v>
      </c>
      <c r="L37" s="266">
        <v>4.6800000000000006</v>
      </c>
      <c r="M37" s="260">
        <v>146</v>
      </c>
      <c r="N37" s="87">
        <f t="shared" si="2"/>
        <v>270.68</v>
      </c>
      <c r="O37" s="266">
        <v>93.6</v>
      </c>
      <c r="P37" s="266">
        <f>(((0.7+1)*1.3)*2)*2</f>
        <v>8.84</v>
      </c>
      <c r="Q37" s="260">
        <f>+[5]Januari!Q37</f>
        <v>226</v>
      </c>
      <c r="R37" s="87">
        <f t="shared" si="3"/>
        <v>328.44</v>
      </c>
      <c r="S37" s="259">
        <v>0</v>
      </c>
      <c r="T37" s="266">
        <f>(((1+4)*1.3)*2)*2</f>
        <v>26</v>
      </c>
      <c r="U37" s="260">
        <v>110</v>
      </c>
      <c r="V37" s="87">
        <f t="shared" si="4"/>
        <v>136</v>
      </c>
      <c r="W37" s="266">
        <v>100</v>
      </c>
      <c r="X37" s="266">
        <v>5.2</v>
      </c>
      <c r="Y37" s="260">
        <f>50+[3]Januari!AX35</f>
        <v>50</v>
      </c>
      <c r="Z37" s="87">
        <f t="shared" si="5"/>
        <v>155.19999999999999</v>
      </c>
      <c r="AA37" s="94">
        <f t="shared" si="12"/>
        <v>1332.68</v>
      </c>
      <c r="AB37" s="96" t="s">
        <v>53</v>
      </c>
      <c r="AC37" s="138"/>
      <c r="AD37" s="146">
        <v>30</v>
      </c>
      <c r="AE37" s="147" t="s">
        <v>33</v>
      </c>
      <c r="AF37" s="141">
        <f t="shared" si="15"/>
        <v>502.4</v>
      </c>
      <c r="AG37" s="141">
        <f t="shared" si="15"/>
        <v>98.28</v>
      </c>
      <c r="AH37" s="141">
        <f t="shared" si="16"/>
        <v>732</v>
      </c>
      <c r="AI37" s="108"/>
      <c r="AJ37" s="148">
        <v>30</v>
      </c>
      <c r="AK37" s="149" t="s">
        <v>33</v>
      </c>
      <c r="AL37" s="144">
        <f t="shared" si="8"/>
        <v>502.4</v>
      </c>
      <c r="AM37" s="145">
        <f t="shared" si="9"/>
        <v>0.37698472251403187</v>
      </c>
      <c r="AN37" s="144">
        <f t="shared" si="13"/>
        <v>98.28</v>
      </c>
      <c r="AO37" s="145">
        <f t="shared" si="10"/>
        <v>7.3746135606447161E-2</v>
      </c>
      <c r="AP37" s="144">
        <f t="shared" si="14"/>
        <v>732</v>
      </c>
      <c r="AQ37" s="145">
        <f t="shared" si="11"/>
        <v>0.54926914187952092</v>
      </c>
    </row>
    <row r="38" spans="1:43" ht="15.75" thickBot="1" x14ac:dyDescent="0.3">
      <c r="A38" s="158">
        <v>31</v>
      </c>
      <c r="B38" s="159" t="s">
        <v>34</v>
      </c>
      <c r="C38" s="266">
        <v>132</v>
      </c>
      <c r="D38" s="262"/>
      <c r="E38" s="262">
        <v>100</v>
      </c>
      <c r="F38" s="88">
        <f t="shared" si="0"/>
        <v>232</v>
      </c>
      <c r="G38" s="266">
        <v>69.599999999999994</v>
      </c>
      <c r="H38" s="266">
        <v>12.48</v>
      </c>
      <c r="I38" s="262">
        <v>0</v>
      </c>
      <c r="J38" s="88">
        <f t="shared" si="1"/>
        <v>82.08</v>
      </c>
      <c r="K38" s="266">
        <v>320</v>
      </c>
      <c r="L38" s="266">
        <v>10.920000000000002</v>
      </c>
      <c r="M38" s="262">
        <v>157</v>
      </c>
      <c r="N38" s="88">
        <f t="shared" si="2"/>
        <v>487.92</v>
      </c>
      <c r="O38" s="266">
        <v>94</v>
      </c>
      <c r="P38" s="266">
        <v>6.24</v>
      </c>
      <c r="Q38" s="262">
        <f>+[5]Januari!Q38</f>
        <v>123.4</v>
      </c>
      <c r="R38" s="88">
        <f t="shared" si="3"/>
        <v>223.64</v>
      </c>
      <c r="S38" s="261">
        <v>0</v>
      </c>
      <c r="T38" s="266">
        <v>5.2</v>
      </c>
      <c r="U38" s="262"/>
      <c r="V38" s="88">
        <f t="shared" si="4"/>
        <v>5.2</v>
      </c>
      <c r="W38" s="266">
        <v>100</v>
      </c>
      <c r="X38" s="266">
        <f>(((1+1)*1.3)*2)*2</f>
        <v>10.4</v>
      </c>
      <c r="Y38" s="262">
        <f>50+[3]Januari!AX36</f>
        <v>50</v>
      </c>
      <c r="Z38" s="88">
        <f t="shared" si="5"/>
        <v>160.4</v>
      </c>
      <c r="AA38" s="94">
        <f t="shared" si="12"/>
        <v>1191.24</v>
      </c>
      <c r="AB38" s="97" t="s">
        <v>53</v>
      </c>
      <c r="AC38" s="138"/>
      <c r="AD38" s="150">
        <v>31</v>
      </c>
      <c r="AE38" s="151" t="s">
        <v>34</v>
      </c>
      <c r="AF38" s="141">
        <f t="shared" si="15"/>
        <v>715.6</v>
      </c>
      <c r="AG38" s="141">
        <f t="shared" si="15"/>
        <v>45.24</v>
      </c>
      <c r="AH38" s="141">
        <f t="shared" si="16"/>
        <v>430.4</v>
      </c>
      <c r="AI38" s="108"/>
      <c r="AJ38" s="148">
        <v>31</v>
      </c>
      <c r="AK38" s="149" t="s">
        <v>34</v>
      </c>
      <c r="AL38" s="152">
        <f t="shared" si="8"/>
        <v>715.6</v>
      </c>
      <c r="AM38" s="153">
        <f t="shared" si="9"/>
        <v>0.60071857895973946</v>
      </c>
      <c r="AN38" s="144">
        <f t="shared" si="13"/>
        <v>45.24</v>
      </c>
      <c r="AO38" s="145">
        <f t="shared" si="10"/>
        <v>3.7977233806789565E-2</v>
      </c>
      <c r="AP38" s="144">
        <f t="shared" si="14"/>
        <v>430.4</v>
      </c>
      <c r="AQ38" s="145">
        <f t="shared" si="11"/>
        <v>0.36130418723347096</v>
      </c>
    </row>
    <row r="39" spans="1:43" ht="33.75" customHeight="1" thickBot="1" x14ac:dyDescent="0.3">
      <c r="A39" s="308" t="s">
        <v>58</v>
      </c>
      <c r="B39" s="309"/>
      <c r="C39" s="99">
        <f t="shared" ref="C39:I39" si="17">SUM(C8:C38)</f>
        <v>3644</v>
      </c>
      <c r="D39" s="100">
        <f t="shared" si="17"/>
        <v>266.24</v>
      </c>
      <c r="E39" s="100">
        <f t="shared" si="17"/>
        <v>4930</v>
      </c>
      <c r="F39" s="219">
        <f t="shared" si="17"/>
        <v>8840.2400000000016</v>
      </c>
      <c r="G39" s="101">
        <f t="shared" si="17"/>
        <v>6808.8000000000011</v>
      </c>
      <c r="H39" s="102">
        <f t="shared" si="17"/>
        <v>392.60000000000008</v>
      </c>
      <c r="I39" s="102">
        <f t="shared" si="17"/>
        <v>4024.2280000000001</v>
      </c>
      <c r="J39" s="219">
        <f>SUM(J8:J38)</f>
        <v>11225.627999999999</v>
      </c>
      <c r="K39" s="101">
        <f>SUM(K8:K38)</f>
        <v>2537.6</v>
      </c>
      <c r="L39" s="102">
        <f>SUM(L8:L38)</f>
        <v>321.88000000000005</v>
      </c>
      <c r="M39" s="102">
        <f t="shared" ref="M39" si="18">SUM(M8:M38)</f>
        <v>3540.5</v>
      </c>
      <c r="N39" s="219">
        <f>SUM(N8:N38)</f>
        <v>6399.9800000000005</v>
      </c>
      <c r="O39" s="101">
        <f>SUM(O8:O38)</f>
        <v>1910.7999999999997</v>
      </c>
      <c r="P39" s="102">
        <f>SUM(P8:P38)</f>
        <v>530.92000000000019</v>
      </c>
      <c r="Q39" s="102">
        <f t="shared" ref="Q39" si="19">SUM(Q8:Q38)</f>
        <v>6400.9</v>
      </c>
      <c r="R39" s="219">
        <f>SUM(R8:R38)</f>
        <v>8842.6200000000008</v>
      </c>
      <c r="S39" s="101">
        <f>SUM(S8:S38)</f>
        <v>0</v>
      </c>
      <c r="T39" s="102">
        <f>SUM(T8:T38)</f>
        <v>306.8</v>
      </c>
      <c r="U39" s="102">
        <f t="shared" ref="U39" si="20">SUM(U8:U38)</f>
        <v>4045</v>
      </c>
      <c r="V39" s="219">
        <f>SUM(V8:V38)</f>
        <v>4351.7999999999993</v>
      </c>
      <c r="W39" s="101">
        <f>SUM(W8:W38)</f>
        <v>1900</v>
      </c>
      <c r="X39" s="102">
        <f>SUM(X8:X38)</f>
        <v>218.39999999999998</v>
      </c>
      <c r="Y39" s="102">
        <f t="shared" ref="Y39" si="21">SUM(Y8:Y38)</f>
        <v>2840</v>
      </c>
      <c r="Z39" s="219">
        <f>SUM(Z8:Z38)</f>
        <v>4958.3999999999987</v>
      </c>
      <c r="AA39" s="220">
        <f>SUM(AA8:AA38)</f>
        <v>44618.667999999991</v>
      </c>
      <c r="AB39" s="221" t="s">
        <v>51</v>
      </c>
      <c r="AC39" s="103"/>
      <c r="AD39" s="104" t="s">
        <v>96</v>
      </c>
      <c r="AE39" s="105"/>
      <c r="AF39" s="106">
        <f>SUM(AF8:AF38)</f>
        <v>16801.2</v>
      </c>
      <c r="AG39" s="106">
        <f>SUM(AG8:AG38)</f>
        <v>2036.8400000000001</v>
      </c>
      <c r="AH39" s="107">
        <f>SUM(AH8:AH38)</f>
        <v>25780.628000000001</v>
      </c>
      <c r="AI39" s="108"/>
      <c r="AJ39" s="109" t="s">
        <v>94</v>
      </c>
      <c r="AK39" s="110"/>
      <c r="AL39" s="111">
        <f>SUM(AL8:AL38)</f>
        <v>16801.2</v>
      </c>
      <c r="AM39" s="112" t="s">
        <v>64</v>
      </c>
      <c r="AN39" s="111">
        <f>SUM(AN8:AN38)</f>
        <v>2036.8400000000001</v>
      </c>
      <c r="AO39" s="113" t="s">
        <v>64</v>
      </c>
      <c r="AP39" s="111">
        <f>SUM(AP8:AP38)</f>
        <v>25780.628000000001</v>
      </c>
      <c r="AQ39" s="113" t="s">
        <v>64</v>
      </c>
    </row>
    <row r="40" spans="1:43" ht="33.75" customHeight="1" thickBot="1" x14ac:dyDescent="0.3">
      <c r="A40" s="308" t="s">
        <v>59</v>
      </c>
      <c r="B40" s="309"/>
      <c r="C40" s="114">
        <f>C39/1000</f>
        <v>3.6440000000000001</v>
      </c>
      <c r="D40" s="115">
        <f t="shared" ref="D40:E40" si="22">D39/1000</f>
        <v>0.26624000000000003</v>
      </c>
      <c r="E40" s="115">
        <f t="shared" si="22"/>
        <v>4.93</v>
      </c>
      <c r="F40" s="222">
        <f>F39/1000</f>
        <v>8.8402400000000014</v>
      </c>
      <c r="G40" s="116">
        <f>G39/1000</f>
        <v>6.8088000000000015</v>
      </c>
      <c r="H40" s="117">
        <f t="shared" ref="H40:I40" si="23">H39/1000</f>
        <v>0.39260000000000006</v>
      </c>
      <c r="I40" s="117">
        <f t="shared" si="23"/>
        <v>4.0242279999999999</v>
      </c>
      <c r="J40" s="222">
        <f>J39/1000</f>
        <v>11.225627999999999</v>
      </c>
      <c r="K40" s="116">
        <f>K39/1000</f>
        <v>2.5375999999999999</v>
      </c>
      <c r="L40" s="117">
        <f t="shared" ref="L40:M40" si="24">L39/1000</f>
        <v>0.32188000000000005</v>
      </c>
      <c r="M40" s="117">
        <f t="shared" si="24"/>
        <v>3.5405000000000002</v>
      </c>
      <c r="N40" s="222">
        <f>N39/1000</f>
        <v>6.3999800000000002</v>
      </c>
      <c r="O40" s="116">
        <f>O39/1000</f>
        <v>1.9107999999999998</v>
      </c>
      <c r="P40" s="117">
        <f t="shared" ref="P40:Q40" si="25">P39/1000</f>
        <v>0.53092000000000017</v>
      </c>
      <c r="Q40" s="117">
        <f t="shared" si="25"/>
        <v>6.4009</v>
      </c>
      <c r="R40" s="222">
        <f>R39/1000</f>
        <v>8.8426200000000001</v>
      </c>
      <c r="S40" s="116">
        <f>S39/1000</f>
        <v>0</v>
      </c>
      <c r="T40" s="117">
        <f t="shared" ref="T40" si="26">T39/1000</f>
        <v>0.30680000000000002</v>
      </c>
      <c r="U40" s="117">
        <f>U39/1000</f>
        <v>4.0449999999999999</v>
      </c>
      <c r="V40" s="222">
        <f>V39/1000</f>
        <v>4.351799999999999</v>
      </c>
      <c r="W40" s="116">
        <f>W39/1000</f>
        <v>1.9</v>
      </c>
      <c r="X40" s="117">
        <f t="shared" ref="X40:Y40" si="27">X39/1000</f>
        <v>0.21839999999999998</v>
      </c>
      <c r="Y40" s="117">
        <f t="shared" si="27"/>
        <v>2.84</v>
      </c>
      <c r="Z40" s="222">
        <f>Z39/1000</f>
        <v>4.9583999999999984</v>
      </c>
      <c r="AA40" s="223">
        <f>AA39/1000</f>
        <v>44.618667999999992</v>
      </c>
      <c r="AB40" s="224" t="s">
        <v>52</v>
      </c>
      <c r="AC40" s="103"/>
      <c r="AD40" s="118" t="s">
        <v>97</v>
      </c>
      <c r="AE40" s="119"/>
      <c r="AF40" s="120">
        <f>AF39/1000</f>
        <v>16.801200000000001</v>
      </c>
      <c r="AG40" s="120">
        <f t="shared" ref="AG40:AH40" si="28">AG39/1000</f>
        <v>2.0368400000000002</v>
      </c>
      <c r="AH40" s="121">
        <f t="shared" si="28"/>
        <v>25.780628</v>
      </c>
      <c r="AI40" s="108"/>
      <c r="AJ40" s="109" t="s">
        <v>95</v>
      </c>
      <c r="AK40" s="110"/>
      <c r="AL40" s="122">
        <f>AL39/1000</f>
        <v>16.801200000000001</v>
      </c>
      <c r="AM40" s="123">
        <f>AL40/AA40</f>
        <v>0.3765509091396454</v>
      </c>
      <c r="AN40" s="122">
        <f>AN39/1000</f>
        <v>2.0368400000000002</v>
      </c>
      <c r="AO40" s="124">
        <f>AN40/AA40</f>
        <v>4.5649950823274256E-2</v>
      </c>
      <c r="AP40" s="122">
        <f>AP39/1000</f>
        <v>25.780628</v>
      </c>
      <c r="AQ40" s="124">
        <f>AP40/AA40</f>
        <v>0.57779914003708055</v>
      </c>
    </row>
    <row r="41" spans="1:43" ht="33.75" customHeight="1" thickBot="1" x14ac:dyDescent="0.3">
      <c r="A41" s="308" t="s">
        <v>74</v>
      </c>
      <c r="B41" s="309"/>
      <c r="C41" s="114">
        <f>_xlfn.AGGREGATE(1,7,C8:C38)</f>
        <v>121.46666666666667</v>
      </c>
      <c r="D41" s="114">
        <f>_xlfn.AGGREGATE(1,7,D8:D38)</f>
        <v>9.1806896551724133</v>
      </c>
      <c r="E41" s="114">
        <f>_xlfn.AGGREGATE(1,7,E8:E38)</f>
        <v>159.03225806451613</v>
      </c>
      <c r="F41" s="222">
        <f>AVERAGEIF(F8:F38,"&gt;0")</f>
        <v>353.60960000000006</v>
      </c>
      <c r="G41" s="114">
        <f>_xlfn.AGGREGATE(1,7,G8:G38)</f>
        <v>226.96000000000004</v>
      </c>
      <c r="H41" s="114">
        <f>_xlfn.AGGREGATE(1,7,H8:H38)</f>
        <v>13.08666666666667</v>
      </c>
      <c r="I41" s="114">
        <f>_xlfn.AGGREGATE(1,7,I8:I38)</f>
        <v>129.81380645161292</v>
      </c>
      <c r="J41" s="222">
        <f>AVERAGEIF(J8:J38,"&gt;0")</f>
        <v>415.76399999999995</v>
      </c>
      <c r="K41" s="114">
        <f>_xlfn.AGGREGATE(1,7,K8:K38)</f>
        <v>84.586666666666659</v>
      </c>
      <c r="L41" s="114">
        <f>_xlfn.AGGREGATE(1,7,L8:L38)</f>
        <v>10.729333333333335</v>
      </c>
      <c r="M41" s="114">
        <f>_xlfn.AGGREGATE(1,7,M8:M38)</f>
        <v>177.02500000000001</v>
      </c>
      <c r="N41" s="222">
        <f>AVERAGEIF(N8:N38,"&gt;0")</f>
        <v>213.33266666666668</v>
      </c>
      <c r="O41" s="114">
        <f>_xlfn.AGGREGATE(1,7,O8:O38)</f>
        <v>63.693333333333321</v>
      </c>
      <c r="P41" s="114">
        <f>_xlfn.AGGREGATE(1,7,P8:P38)</f>
        <v>17.69733333333334</v>
      </c>
      <c r="Q41" s="114">
        <f>_xlfn.AGGREGATE(1,7,Q8:Q38)</f>
        <v>206.48064516129031</v>
      </c>
      <c r="R41" s="222">
        <f>AVERAGEIF(R8:R38,"&gt;0")</f>
        <v>294.75400000000002</v>
      </c>
      <c r="S41" s="114">
        <f>_xlfn.AGGREGATE(1,7,S8:S38)</f>
        <v>0</v>
      </c>
      <c r="T41" s="114">
        <f>_xlfn.AGGREGATE(1,7,T8:T38)</f>
        <v>10.226666666666667</v>
      </c>
      <c r="U41" s="114">
        <f>_xlfn.AGGREGATE(1,7,U8:U38)</f>
        <v>202.25</v>
      </c>
      <c r="V41" s="222">
        <f>AVERAGEIF(V8:V38,"&gt;0")</f>
        <v>174.07199999999997</v>
      </c>
      <c r="W41" s="114">
        <f>_xlfn.AGGREGATE(1,7,W8:W38)</f>
        <v>63.333333333333336</v>
      </c>
      <c r="X41" s="114">
        <f>_xlfn.AGGREGATE(1,7,X8:X38)</f>
        <v>7.2799999999999994</v>
      </c>
      <c r="Y41" s="114">
        <f>_xlfn.AGGREGATE(1,7,Y8:Y38)</f>
        <v>91.612903225806448</v>
      </c>
      <c r="Z41" s="222">
        <f>AVERAGEIF(Z8:Z38,"&gt;0")</f>
        <v>165.27999999999994</v>
      </c>
      <c r="AA41" s="223">
        <f>AVERAGEIF(AA8:AA38,"&gt;0")</f>
        <v>1487.288933333333</v>
      </c>
      <c r="AB41" s="225" t="s">
        <v>75</v>
      </c>
      <c r="AC41" s="103"/>
      <c r="AD41" s="118" t="s">
        <v>98</v>
      </c>
      <c r="AE41" s="119"/>
      <c r="AF41" s="125">
        <f>AVERAGEIF(AF8:AF38,"&gt;0")</f>
        <v>560.04000000000008</v>
      </c>
      <c r="AG41" s="125">
        <f>AVERAGEIF(AG8:AG38,"&gt;0")</f>
        <v>67.894666666666666</v>
      </c>
      <c r="AH41" s="125">
        <f>AVERAGEIF(AH8:AH38,"&gt;0")</f>
        <v>859.35426666666672</v>
      </c>
      <c r="AI41" s="108"/>
      <c r="AJ41" s="109" t="s">
        <v>99</v>
      </c>
      <c r="AK41" s="110"/>
      <c r="AL41" s="125">
        <f>AVERAGEIF(AL8:AL38,"&gt;0")</f>
        <v>560.04000000000008</v>
      </c>
      <c r="AM41" s="126" t="s">
        <v>64</v>
      </c>
      <c r="AN41" s="125">
        <f>AVERAGEIF(AN8:AN38,"&gt;0")</f>
        <v>67.894666666666666</v>
      </c>
      <c r="AO41" s="124" t="s">
        <v>64</v>
      </c>
      <c r="AP41" s="125">
        <f>AVERAGEIF(AP8:AP38,"&gt;0")</f>
        <v>859.35426666666672</v>
      </c>
      <c r="AQ41" s="124" t="s">
        <v>64</v>
      </c>
    </row>
    <row r="42" spans="1:43" x14ac:dyDescent="0.25">
      <c r="J42" s="89" t="s">
        <v>61</v>
      </c>
    </row>
    <row r="44" spans="1:43" x14ac:dyDescent="0.25">
      <c r="A44" s="128" t="s">
        <v>61</v>
      </c>
      <c r="C44" s="130" t="s">
        <v>50</v>
      </c>
      <c r="D44" s="131"/>
    </row>
    <row r="45" spans="1:43" x14ac:dyDescent="0.25">
      <c r="C45" s="132"/>
      <c r="D45" s="131" t="s">
        <v>133</v>
      </c>
    </row>
    <row r="46" spans="1:43" x14ac:dyDescent="0.25">
      <c r="C46" s="133"/>
      <c r="D46" s="131" t="s">
        <v>100</v>
      </c>
    </row>
    <row r="47" spans="1:43" x14ac:dyDescent="0.25">
      <c r="C47" s="134"/>
      <c r="D47" s="131" t="s">
        <v>100</v>
      </c>
    </row>
    <row r="48" spans="1:43" x14ac:dyDescent="0.25">
      <c r="C48" s="135"/>
      <c r="D48" s="131" t="s">
        <v>100</v>
      </c>
    </row>
    <row r="49" spans="3:5" x14ac:dyDescent="0.25">
      <c r="C49" s="136"/>
      <c r="D49" s="131" t="s">
        <v>100</v>
      </c>
    </row>
    <row r="50" spans="3:5" x14ac:dyDescent="0.25">
      <c r="C50" s="137"/>
      <c r="D50" s="131" t="s">
        <v>100</v>
      </c>
    </row>
    <row r="51" spans="3:5" x14ac:dyDescent="0.25">
      <c r="E51" s="129" t="s">
        <v>61</v>
      </c>
    </row>
  </sheetData>
  <sheetProtection algorithmName="SHA-512" hashValue="wndq2AfCUZX09txRZJLx3KFrRxuGFmcmOZZRWIERdBgDB1tneQZuEajbfWOoGBI0bmYwZ4/KGiV696ft3R7tlQ==" saltValue="iotZ2W2PDhMtuRZpLZ8xfg==" spinCount="100000" sheet="1" objects="1" scenarios="1" formatColumns="0" formatRows="0"/>
  <mergeCells count="14">
    <mergeCell ref="A41:B41"/>
    <mergeCell ref="W6:Y6"/>
    <mergeCell ref="A4:A7"/>
    <mergeCell ref="B4:B7"/>
    <mergeCell ref="A39:B39"/>
    <mergeCell ref="A40:B40"/>
    <mergeCell ref="AJ6:AQ6"/>
    <mergeCell ref="AA3:AA7"/>
    <mergeCell ref="AB3:AB7"/>
    <mergeCell ref="C6:E6"/>
    <mergeCell ref="G6:I6"/>
    <mergeCell ref="K6:M6"/>
    <mergeCell ref="O6:Q6"/>
    <mergeCell ref="S6:U6"/>
  </mergeCells>
  <printOptions horizontalCentered="1"/>
  <pageMargins left="0.19685039370078741" right="0.19685039370078741" top="0.39370078740157483" bottom="0.39370078740157483" header="0.11811023622047245" footer="0.11811023622047245"/>
  <pageSetup paperSize="9" scale="6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EA5DE-434A-467D-A940-688B2BA816EC}">
  <sheetPr>
    <tabColor rgb="FFCCFFFF"/>
    <pageSetUpPr fitToPage="1"/>
  </sheetPr>
  <dimension ref="A1:AQ51"/>
  <sheetViews>
    <sheetView showGridLines="0" view="pageBreakPreview" zoomScale="80" zoomScaleNormal="91" zoomScaleSheetLayoutView="80" workbookViewId="0">
      <pane xSplit="2" ySplit="7" topLeftCell="C8" activePane="bottomRight" state="frozen"/>
      <selection activeCell="H31" sqref="H31"/>
      <selection pane="topRight" activeCell="H31" sqref="H31"/>
      <selection pane="bottomLeft" activeCell="H31" sqref="H31"/>
      <selection pane="bottomRight" activeCell="X8" activeCellId="5" sqref="D8:D35 H8:H35 L8:L35 P8:P35 T8:T35 X8:X35"/>
    </sheetView>
  </sheetViews>
  <sheetFormatPr defaultColWidth="9.140625" defaultRowHeight="15" x14ac:dyDescent="0.25"/>
  <cols>
    <col min="1" max="1" width="11.42578125" style="128" customWidth="1"/>
    <col min="2" max="2" width="7.28515625" style="128" customWidth="1"/>
    <col min="3" max="3" width="8.42578125" style="129" customWidth="1"/>
    <col min="4" max="5" width="6.42578125" style="129" customWidth="1"/>
    <col min="6" max="6" width="7.42578125" style="89" customWidth="1"/>
    <col min="7" max="7" width="8.7109375" style="129" customWidth="1"/>
    <col min="8" max="8" width="6.42578125" style="129" customWidth="1"/>
    <col min="9" max="9" width="8.28515625" style="129" customWidth="1"/>
    <col min="10" max="10" width="8.85546875" style="89" customWidth="1"/>
    <col min="11" max="13" width="6.42578125" style="129" customWidth="1"/>
    <col min="14" max="14" width="6.42578125" style="89" customWidth="1"/>
    <col min="15" max="15" width="7.7109375" style="129" customWidth="1"/>
    <col min="16" max="16" width="6.42578125" style="129" customWidth="1"/>
    <col min="17" max="17" width="7.85546875" style="129" customWidth="1"/>
    <col min="18" max="18" width="9.7109375" style="89" customWidth="1"/>
    <col min="19" max="19" width="7.85546875" style="129" customWidth="1"/>
    <col min="20" max="21" width="6.42578125" style="129" customWidth="1"/>
    <col min="22" max="22" width="7.85546875" style="89" customWidth="1"/>
    <col min="23" max="25" width="6.42578125" style="129" customWidth="1"/>
    <col min="26" max="26" width="6.42578125" style="89" customWidth="1"/>
    <col min="27" max="27" width="10.42578125" style="91" customWidth="1"/>
    <col min="28" max="28" width="12" style="98" customWidth="1"/>
    <col min="29" max="29" width="8.5703125" style="98" hidden="1" customWidth="1"/>
    <col min="30" max="30" width="14.140625" style="129" hidden="1" customWidth="1"/>
    <col min="31" max="31" width="8.5703125" style="129" hidden="1" customWidth="1"/>
    <col min="32" max="32" width="11.7109375" style="129" hidden="1" customWidth="1"/>
    <col min="33" max="34" width="10.7109375" style="129" hidden="1" customWidth="1"/>
    <col min="35" max="35" width="8.5703125" style="129" hidden="1" customWidth="1"/>
    <col min="36" max="36" width="15.85546875" style="129" hidden="1" customWidth="1"/>
    <col min="37" max="37" width="8.5703125" style="129" hidden="1" customWidth="1"/>
    <col min="38" max="38" width="7.7109375" style="129" hidden="1" customWidth="1"/>
    <col min="39" max="39" width="11.5703125" style="129" hidden="1" customWidth="1"/>
    <col min="40" max="40" width="6.5703125" style="129" hidden="1" customWidth="1"/>
    <col min="41" max="41" width="11.85546875" style="129" hidden="1" customWidth="1"/>
    <col min="42" max="42" width="6.5703125" style="129" hidden="1" customWidth="1"/>
    <col min="43" max="43" width="11.85546875" style="129" hidden="1" customWidth="1"/>
    <col min="44" max="16384" width="9.140625" style="98"/>
  </cols>
  <sheetData>
    <row r="1" spans="1:43" x14ac:dyDescent="0.25">
      <c r="A1" s="226" t="s">
        <v>116</v>
      </c>
      <c r="B1" s="227" t="str">
        <f>'Rekap Neraca Pengelolaan Sampah'!C3</f>
        <v>PT PELINDO DAYA SEJAHTERA</v>
      </c>
    </row>
    <row r="2" spans="1:43" ht="15.75" thickBot="1" x14ac:dyDescent="0.3">
      <c r="A2" s="226" t="s">
        <v>42</v>
      </c>
      <c r="B2" s="227">
        <f>'Rekap Neraca Pengelolaan Sampah'!G2</f>
        <v>2025</v>
      </c>
    </row>
    <row r="3" spans="1:43" ht="15.75" thickBot="1" x14ac:dyDescent="0.3">
      <c r="A3" s="160" t="s">
        <v>2</v>
      </c>
      <c r="B3" s="82" t="s">
        <v>70</v>
      </c>
      <c r="C3" s="160" t="s">
        <v>36</v>
      </c>
      <c r="D3" s="90"/>
      <c r="E3" s="90"/>
      <c r="F3" s="82"/>
      <c r="G3" s="160" t="s">
        <v>36</v>
      </c>
      <c r="H3" s="90"/>
      <c r="I3" s="90"/>
      <c r="J3" s="90"/>
      <c r="K3" s="160" t="s">
        <v>36</v>
      </c>
      <c r="L3" s="90"/>
      <c r="M3" s="90"/>
      <c r="N3" s="90"/>
      <c r="O3" s="160" t="s">
        <v>36</v>
      </c>
      <c r="P3" s="90"/>
      <c r="Q3" s="90"/>
      <c r="R3" s="90"/>
      <c r="S3" s="160" t="s">
        <v>36</v>
      </c>
      <c r="T3" s="90"/>
      <c r="U3" s="90"/>
      <c r="V3" s="90"/>
      <c r="W3" s="160" t="s">
        <v>36</v>
      </c>
      <c r="X3" s="90"/>
      <c r="Y3" s="90"/>
      <c r="Z3" s="90"/>
      <c r="AA3" s="297" t="s">
        <v>125</v>
      </c>
      <c r="AB3" s="300" t="s">
        <v>57</v>
      </c>
      <c r="AD3" s="161" t="s">
        <v>54</v>
      </c>
      <c r="AE3" s="162"/>
      <c r="AF3" s="162"/>
      <c r="AG3" s="162"/>
      <c r="AH3" s="163"/>
      <c r="AI3" s="91"/>
      <c r="AJ3" s="164" t="s">
        <v>56</v>
      </c>
      <c r="AK3" s="165"/>
      <c r="AL3" s="165"/>
      <c r="AM3" s="165"/>
      <c r="AN3" s="165"/>
      <c r="AO3" s="165"/>
      <c r="AP3" s="165"/>
      <c r="AQ3" s="165"/>
    </row>
    <row r="4" spans="1:43" ht="15" customHeight="1" x14ac:dyDescent="0.25">
      <c r="A4" s="310" t="s">
        <v>0</v>
      </c>
      <c r="B4" s="313" t="s">
        <v>87</v>
      </c>
      <c r="C4" s="98" t="s">
        <v>37</v>
      </c>
      <c r="D4" s="98"/>
      <c r="E4" s="98"/>
      <c r="F4" s="83"/>
      <c r="G4" s="166" t="s">
        <v>37</v>
      </c>
      <c r="H4" s="98"/>
      <c r="I4" s="98"/>
      <c r="J4" s="91"/>
      <c r="K4" s="166" t="s">
        <v>37</v>
      </c>
      <c r="L4" s="98"/>
      <c r="M4" s="98"/>
      <c r="N4" s="91"/>
      <c r="O4" s="166" t="s">
        <v>37</v>
      </c>
      <c r="P4" s="98"/>
      <c r="Q4" s="98"/>
      <c r="R4" s="91"/>
      <c r="S4" s="166" t="s">
        <v>37</v>
      </c>
      <c r="T4" s="98"/>
      <c r="U4" s="98"/>
      <c r="V4" s="91"/>
      <c r="W4" s="166" t="s">
        <v>37</v>
      </c>
      <c r="X4" s="98"/>
      <c r="Y4" s="98"/>
      <c r="Z4" s="91"/>
      <c r="AA4" s="298"/>
      <c r="AB4" s="301"/>
      <c r="AD4" s="167" t="s">
        <v>55</v>
      </c>
      <c r="AE4" s="168"/>
      <c r="AF4" s="168"/>
      <c r="AG4" s="169"/>
      <c r="AH4" s="170"/>
      <c r="AI4" s="98"/>
      <c r="AJ4" s="171" t="s">
        <v>126</v>
      </c>
      <c r="AK4" s="172"/>
      <c r="AL4" s="172"/>
      <c r="AM4" s="173"/>
      <c r="AN4" s="173"/>
      <c r="AO4" s="173"/>
      <c r="AP4" s="173"/>
      <c r="AQ4" s="173"/>
    </row>
    <row r="5" spans="1:43" ht="15.75" thickBot="1" x14ac:dyDescent="0.3">
      <c r="A5" s="311"/>
      <c r="B5" s="314"/>
      <c r="C5" s="91" t="s">
        <v>3</v>
      </c>
      <c r="D5" s="91"/>
      <c r="E5" s="91"/>
      <c r="F5" s="83"/>
      <c r="G5" s="174" t="s">
        <v>3</v>
      </c>
      <c r="H5" s="91"/>
      <c r="I5" s="91"/>
      <c r="J5" s="91"/>
      <c r="K5" s="174" t="s">
        <v>3</v>
      </c>
      <c r="L5" s="91"/>
      <c r="M5" s="91"/>
      <c r="N5" s="91"/>
      <c r="O5" s="174" t="s">
        <v>3</v>
      </c>
      <c r="P5" s="91"/>
      <c r="Q5" s="91"/>
      <c r="R5" s="91"/>
      <c r="S5" s="174" t="s">
        <v>3</v>
      </c>
      <c r="T5" s="91"/>
      <c r="U5" s="91"/>
      <c r="V5" s="91"/>
      <c r="W5" s="174" t="s">
        <v>3</v>
      </c>
      <c r="X5" s="91"/>
      <c r="Y5" s="91"/>
      <c r="Z5" s="91"/>
      <c r="AA5" s="298"/>
      <c r="AB5" s="301"/>
      <c r="AD5" s="175" t="s">
        <v>37</v>
      </c>
      <c r="AE5" s="169"/>
      <c r="AF5" s="169"/>
      <c r="AG5" s="168"/>
      <c r="AH5" s="176"/>
      <c r="AI5" s="91"/>
      <c r="AJ5" s="177" t="s">
        <v>91</v>
      </c>
      <c r="AK5" s="178" t="str">
        <f>B3</f>
        <v>Februari</v>
      </c>
      <c r="AL5" s="178" t="s">
        <v>63</v>
      </c>
      <c r="AM5" s="178" t="str">
        <f>B4</f>
        <v>Tanggal</v>
      </c>
      <c r="AN5" s="179"/>
      <c r="AO5" s="179"/>
      <c r="AP5" s="179"/>
      <c r="AQ5" s="179"/>
    </row>
    <row r="6" spans="1:43" ht="30.75" customHeight="1" thickBot="1" x14ac:dyDescent="0.3">
      <c r="A6" s="311"/>
      <c r="B6" s="314"/>
      <c r="C6" s="316" t="s">
        <v>109</v>
      </c>
      <c r="D6" s="303"/>
      <c r="E6" s="303"/>
      <c r="F6" s="84"/>
      <c r="G6" s="304" t="s">
        <v>123</v>
      </c>
      <c r="H6" s="305"/>
      <c r="I6" s="305"/>
      <c r="J6" s="92"/>
      <c r="K6" s="306" t="s">
        <v>111</v>
      </c>
      <c r="L6" s="307"/>
      <c r="M6" s="307"/>
      <c r="N6" s="93"/>
      <c r="O6" s="306" t="s">
        <v>115</v>
      </c>
      <c r="P6" s="307"/>
      <c r="Q6" s="307"/>
      <c r="R6" s="93"/>
      <c r="S6" s="304" t="s">
        <v>124</v>
      </c>
      <c r="T6" s="305"/>
      <c r="U6" s="305"/>
      <c r="V6" s="92"/>
      <c r="W6" s="304" t="s">
        <v>84</v>
      </c>
      <c r="X6" s="305"/>
      <c r="Y6" s="305"/>
      <c r="Z6" s="93"/>
      <c r="AA6" s="298"/>
      <c r="AB6" s="301"/>
      <c r="AD6" s="180" t="s">
        <v>91</v>
      </c>
      <c r="AE6" s="181" t="str">
        <f>B3</f>
        <v>Februari</v>
      </c>
      <c r="AF6" s="181" t="s">
        <v>63</v>
      </c>
      <c r="AG6" s="169" t="str">
        <f>B4</f>
        <v>Tanggal</v>
      </c>
      <c r="AH6" s="170"/>
      <c r="AI6" s="98"/>
      <c r="AJ6" s="296" t="s">
        <v>93</v>
      </c>
      <c r="AK6" s="296"/>
      <c r="AL6" s="296"/>
      <c r="AM6" s="296"/>
      <c r="AN6" s="296"/>
      <c r="AO6" s="296"/>
      <c r="AP6" s="296"/>
      <c r="AQ6" s="296"/>
    </row>
    <row r="7" spans="1:43" s="191" customFormat="1" ht="120.75" customHeight="1" thickBot="1" x14ac:dyDescent="0.3">
      <c r="A7" s="312"/>
      <c r="B7" s="315"/>
      <c r="C7" s="184" t="s">
        <v>85</v>
      </c>
      <c r="D7" s="182" t="s">
        <v>108</v>
      </c>
      <c r="E7" s="183" t="s">
        <v>145</v>
      </c>
      <c r="F7" s="85" t="s">
        <v>131</v>
      </c>
      <c r="G7" s="184" t="s">
        <v>85</v>
      </c>
      <c r="H7" s="182" t="s">
        <v>108</v>
      </c>
      <c r="I7" s="183" t="s">
        <v>145</v>
      </c>
      <c r="J7" s="85" t="s">
        <v>131</v>
      </c>
      <c r="K7" s="184" t="s">
        <v>85</v>
      </c>
      <c r="L7" s="182" t="s">
        <v>108</v>
      </c>
      <c r="M7" s="183" t="s">
        <v>145</v>
      </c>
      <c r="N7" s="85" t="s">
        <v>131</v>
      </c>
      <c r="O7" s="184" t="s">
        <v>85</v>
      </c>
      <c r="P7" s="182" t="s">
        <v>108</v>
      </c>
      <c r="Q7" s="183" t="s">
        <v>145</v>
      </c>
      <c r="R7" s="85" t="s">
        <v>131</v>
      </c>
      <c r="S7" s="184" t="s">
        <v>85</v>
      </c>
      <c r="T7" s="182" t="s">
        <v>108</v>
      </c>
      <c r="U7" s="183" t="s">
        <v>145</v>
      </c>
      <c r="V7" s="85" t="s">
        <v>131</v>
      </c>
      <c r="W7" s="184" t="s">
        <v>85</v>
      </c>
      <c r="X7" s="182" t="s">
        <v>108</v>
      </c>
      <c r="Y7" s="183" t="s">
        <v>145</v>
      </c>
      <c r="Z7" s="85" t="s">
        <v>131</v>
      </c>
      <c r="AA7" s="299"/>
      <c r="AB7" s="302"/>
      <c r="AC7" s="185"/>
      <c r="AD7" s="186" t="s">
        <v>90</v>
      </c>
      <c r="AE7" s="187" t="s">
        <v>87</v>
      </c>
      <c r="AF7" s="188" t="s">
        <v>92</v>
      </c>
      <c r="AG7" s="188" t="s">
        <v>110</v>
      </c>
      <c r="AH7" s="188" t="s">
        <v>101</v>
      </c>
      <c r="AI7" s="185"/>
      <c r="AJ7" s="189" t="s">
        <v>90</v>
      </c>
      <c r="AK7" s="189" t="s">
        <v>87</v>
      </c>
      <c r="AL7" s="190" t="s">
        <v>40</v>
      </c>
      <c r="AM7" s="190" t="s">
        <v>60</v>
      </c>
      <c r="AN7" s="190" t="s">
        <v>38</v>
      </c>
      <c r="AO7" s="190" t="s">
        <v>39</v>
      </c>
      <c r="AP7" s="190" t="s">
        <v>103</v>
      </c>
      <c r="AQ7" s="190" t="s">
        <v>102</v>
      </c>
    </row>
    <row r="8" spans="1:43" x14ac:dyDescent="0.25">
      <c r="A8" s="154">
        <v>1</v>
      </c>
      <c r="B8" s="155" t="s">
        <v>4</v>
      </c>
      <c r="C8" s="266">
        <v>32</v>
      </c>
      <c r="D8" s="266">
        <v>15.600000000000001</v>
      </c>
      <c r="E8" s="258">
        <v>0</v>
      </c>
      <c r="F8" s="86">
        <f t="shared" ref="F8:F38" si="0">SUM(C8:E8)</f>
        <v>47.6</v>
      </c>
      <c r="G8" s="266">
        <v>40</v>
      </c>
      <c r="H8" s="266">
        <f>(((2+1)*1.3)*2)*2</f>
        <v>15.600000000000001</v>
      </c>
      <c r="I8" s="258">
        <v>0</v>
      </c>
      <c r="J8" s="86">
        <f t="shared" ref="J8:J38" si="1">SUM(G8:I8)</f>
        <v>55.6</v>
      </c>
      <c r="K8" s="266">
        <v>10</v>
      </c>
      <c r="L8" s="266">
        <v>13</v>
      </c>
      <c r="M8" s="258">
        <v>0</v>
      </c>
      <c r="N8" s="86">
        <f t="shared" ref="N8:N38" si="2">SUM(K8:M8)</f>
        <v>23</v>
      </c>
      <c r="O8" s="266">
        <v>86</v>
      </c>
      <c r="P8" s="266">
        <f>(((4.1+1)*1.3)*2)*2</f>
        <v>26.52</v>
      </c>
      <c r="Q8" s="258">
        <v>0</v>
      </c>
      <c r="R8" s="86">
        <f t="shared" ref="R8:R38" si="3">SUM(O8:Q8)</f>
        <v>112.52</v>
      </c>
      <c r="S8" s="266">
        <v>40</v>
      </c>
      <c r="T8" s="266">
        <f>(((3+2)*1.3)*2)*2</f>
        <v>26</v>
      </c>
      <c r="U8" s="258">
        <v>0</v>
      </c>
      <c r="V8" s="86">
        <f t="shared" ref="V8:V38" si="4">SUM(S8:U8)</f>
        <v>66</v>
      </c>
      <c r="W8" s="266">
        <v>120</v>
      </c>
      <c r="X8" s="266">
        <f>(((3+1)*1.3)*2)*2</f>
        <v>20.8</v>
      </c>
      <c r="Y8" s="258">
        <v>0</v>
      </c>
      <c r="Z8" s="86">
        <f t="shared" ref="Z8:Z38" si="5">SUM(W8:Y8)</f>
        <v>140.80000000000001</v>
      </c>
      <c r="AA8" s="94">
        <f>(F8+J8+N8+R8+V8+Z8)</f>
        <v>445.52000000000004</v>
      </c>
      <c r="AB8" s="95" t="s">
        <v>53</v>
      </c>
      <c r="AC8" s="138"/>
      <c r="AD8" s="139">
        <v>1</v>
      </c>
      <c r="AE8" s="140" t="s">
        <v>4</v>
      </c>
      <c r="AF8" s="141">
        <f t="shared" ref="AF8:AG16" si="6">(C8+G8+K8+O8+S8+W8)</f>
        <v>328</v>
      </c>
      <c r="AG8" s="141">
        <f t="shared" si="6"/>
        <v>117.52</v>
      </c>
      <c r="AH8" s="141">
        <f t="shared" ref="AH8:AH16" si="7">(E8+I8+M8+Q8++U8+Y8)</f>
        <v>0</v>
      </c>
      <c r="AI8" s="108"/>
      <c r="AJ8" s="142">
        <v>1</v>
      </c>
      <c r="AK8" s="143" t="s">
        <v>4</v>
      </c>
      <c r="AL8" s="144">
        <f t="shared" ref="AL8:AL38" si="8">AF8</f>
        <v>328</v>
      </c>
      <c r="AM8" s="145">
        <f t="shared" ref="AM8:AM38" si="9">AL8/AA8</f>
        <v>0.73621835158915416</v>
      </c>
      <c r="AN8" s="144">
        <f>AG8</f>
        <v>117.52</v>
      </c>
      <c r="AO8" s="145">
        <f t="shared" ref="AO8:AO38" si="10">AN8/AA8</f>
        <v>0.26378164841084573</v>
      </c>
      <c r="AP8" s="144">
        <f>AH8</f>
        <v>0</v>
      </c>
      <c r="AQ8" s="145">
        <f t="shared" ref="AQ8:AQ38" si="11">AP8/AA8</f>
        <v>0</v>
      </c>
    </row>
    <row r="9" spans="1:43" x14ac:dyDescent="0.25">
      <c r="A9" s="156">
        <v>2</v>
      </c>
      <c r="B9" s="157" t="s">
        <v>5</v>
      </c>
      <c r="C9" s="266">
        <v>0</v>
      </c>
      <c r="D9" s="266">
        <v>0</v>
      </c>
      <c r="E9" s="260">
        <v>0</v>
      </c>
      <c r="F9" s="87">
        <f t="shared" si="0"/>
        <v>0</v>
      </c>
      <c r="G9" s="266">
        <v>0</v>
      </c>
      <c r="H9" s="266">
        <v>0</v>
      </c>
      <c r="I9" s="260">
        <v>0</v>
      </c>
      <c r="J9" s="87">
        <f t="shared" si="1"/>
        <v>0</v>
      </c>
      <c r="K9" s="266">
        <v>12</v>
      </c>
      <c r="L9" s="266">
        <v>0</v>
      </c>
      <c r="M9" s="260">
        <v>0</v>
      </c>
      <c r="N9" s="87">
        <f t="shared" si="2"/>
        <v>12</v>
      </c>
      <c r="O9" s="266">
        <v>22.8</v>
      </c>
      <c r="P9" s="266">
        <v>0</v>
      </c>
      <c r="Q9" s="260">
        <v>0</v>
      </c>
      <c r="R9" s="87">
        <f t="shared" si="3"/>
        <v>22.8</v>
      </c>
      <c r="S9" s="266">
        <v>0</v>
      </c>
      <c r="T9" s="266">
        <v>0</v>
      </c>
      <c r="U9" s="260">
        <v>0</v>
      </c>
      <c r="V9" s="87">
        <f t="shared" si="4"/>
        <v>0</v>
      </c>
      <c r="W9" s="266">
        <v>0</v>
      </c>
      <c r="X9" s="266">
        <v>0</v>
      </c>
      <c r="Y9" s="260">
        <v>0</v>
      </c>
      <c r="Z9" s="87">
        <f t="shared" si="5"/>
        <v>0</v>
      </c>
      <c r="AA9" s="94">
        <f t="shared" ref="AA9:AA38" si="12">(F9+J9+N9+R9+V9+Z9)</f>
        <v>34.799999999999997</v>
      </c>
      <c r="AB9" s="96" t="s">
        <v>53</v>
      </c>
      <c r="AC9" s="138"/>
      <c r="AD9" s="146">
        <v>2</v>
      </c>
      <c r="AE9" s="147" t="s">
        <v>5</v>
      </c>
      <c r="AF9" s="141">
        <f t="shared" si="6"/>
        <v>34.799999999999997</v>
      </c>
      <c r="AG9" s="141">
        <f t="shared" si="6"/>
        <v>0</v>
      </c>
      <c r="AH9" s="141">
        <f t="shared" si="7"/>
        <v>0</v>
      </c>
      <c r="AI9" s="108"/>
      <c r="AJ9" s="148">
        <v>2</v>
      </c>
      <c r="AK9" s="149" t="s">
        <v>5</v>
      </c>
      <c r="AL9" s="144">
        <f t="shared" si="8"/>
        <v>34.799999999999997</v>
      </c>
      <c r="AM9" s="145">
        <f t="shared" si="9"/>
        <v>1</v>
      </c>
      <c r="AN9" s="144">
        <f t="shared" ref="AN9:AN38" si="13">AG9</f>
        <v>0</v>
      </c>
      <c r="AO9" s="145">
        <f t="shared" si="10"/>
        <v>0</v>
      </c>
      <c r="AP9" s="144">
        <f t="shared" ref="AP9:AP38" si="14">AH9</f>
        <v>0</v>
      </c>
      <c r="AQ9" s="145">
        <f t="shared" si="11"/>
        <v>0</v>
      </c>
    </row>
    <row r="10" spans="1:43" x14ac:dyDescent="0.25">
      <c r="A10" s="156">
        <v>3</v>
      </c>
      <c r="B10" s="157" t="s">
        <v>6</v>
      </c>
      <c r="C10" s="266">
        <v>432</v>
      </c>
      <c r="D10" s="266">
        <f>(((5.1+1)*1.3)*2)*2</f>
        <v>31.72</v>
      </c>
      <c r="E10" s="260">
        <v>0</v>
      </c>
      <c r="F10" s="87">
        <f t="shared" si="0"/>
        <v>463.72</v>
      </c>
      <c r="G10" s="266">
        <v>858</v>
      </c>
      <c r="H10" s="266">
        <f>(((4.1+2)*1.3)*2)*2</f>
        <v>31.72</v>
      </c>
      <c r="I10" s="260">
        <v>0</v>
      </c>
      <c r="J10" s="87">
        <f t="shared" si="1"/>
        <v>889.72</v>
      </c>
      <c r="K10" s="266">
        <v>12.4</v>
      </c>
      <c r="L10" s="266">
        <v>13</v>
      </c>
      <c r="M10" s="260">
        <v>0</v>
      </c>
      <c r="N10" s="87">
        <f t="shared" si="2"/>
        <v>25.4</v>
      </c>
      <c r="O10" s="266">
        <v>1679.6</v>
      </c>
      <c r="P10" s="266">
        <f>(((4.4+2)*1.3)*2)*2</f>
        <v>33.28</v>
      </c>
      <c r="Q10" s="260">
        <v>0</v>
      </c>
      <c r="R10" s="87">
        <f t="shared" si="3"/>
        <v>1712.8799999999999</v>
      </c>
      <c r="S10" s="266">
        <f>(10+50)*4</f>
        <v>240</v>
      </c>
      <c r="T10" s="266">
        <f>(((2+2)*1.3)*2)*2</f>
        <v>20.8</v>
      </c>
      <c r="U10" s="260">
        <v>0</v>
      </c>
      <c r="V10" s="87">
        <f t="shared" si="4"/>
        <v>260.8</v>
      </c>
      <c r="W10" s="266">
        <v>160</v>
      </c>
      <c r="X10" s="266">
        <v>15.600000000000001</v>
      </c>
      <c r="Y10" s="260">
        <v>0</v>
      </c>
      <c r="Z10" s="87">
        <f t="shared" si="5"/>
        <v>175.6</v>
      </c>
      <c r="AA10" s="94">
        <f t="shared" si="12"/>
        <v>3528.1200000000003</v>
      </c>
      <c r="AB10" s="96" t="s">
        <v>53</v>
      </c>
      <c r="AC10" s="138"/>
      <c r="AD10" s="146">
        <v>3</v>
      </c>
      <c r="AE10" s="147" t="s">
        <v>6</v>
      </c>
      <c r="AF10" s="141">
        <f t="shared" si="6"/>
        <v>3382</v>
      </c>
      <c r="AG10" s="141">
        <f t="shared" si="6"/>
        <v>146.12</v>
      </c>
      <c r="AH10" s="141">
        <f t="shared" si="7"/>
        <v>0</v>
      </c>
      <c r="AI10" s="108"/>
      <c r="AJ10" s="148">
        <v>3</v>
      </c>
      <c r="AK10" s="149" t="s">
        <v>6</v>
      </c>
      <c r="AL10" s="144">
        <f t="shared" si="8"/>
        <v>3382</v>
      </c>
      <c r="AM10" s="145">
        <f t="shared" si="9"/>
        <v>0.95858417514143501</v>
      </c>
      <c r="AN10" s="144">
        <f t="shared" si="13"/>
        <v>146.12</v>
      </c>
      <c r="AO10" s="145">
        <f t="shared" si="10"/>
        <v>4.1415824858564897E-2</v>
      </c>
      <c r="AP10" s="144">
        <f t="shared" si="14"/>
        <v>0</v>
      </c>
      <c r="AQ10" s="145">
        <f t="shared" si="11"/>
        <v>0</v>
      </c>
    </row>
    <row r="11" spans="1:43" x14ac:dyDescent="0.25">
      <c r="A11" s="156">
        <v>4</v>
      </c>
      <c r="B11" s="157" t="s">
        <v>7</v>
      </c>
      <c r="C11" s="266">
        <v>440</v>
      </c>
      <c r="D11" s="266">
        <f>(((3+1)*1.3)*2)*2</f>
        <v>20.8</v>
      </c>
      <c r="E11" s="260">
        <v>0</v>
      </c>
      <c r="F11" s="87">
        <f t="shared" si="0"/>
        <v>460.8</v>
      </c>
      <c r="G11" s="266">
        <v>1260.4000000000001</v>
      </c>
      <c r="H11" s="266">
        <v>28.6</v>
      </c>
      <c r="I11" s="260">
        <v>0</v>
      </c>
      <c r="J11" s="87">
        <f t="shared" si="1"/>
        <v>1289</v>
      </c>
      <c r="K11" s="266">
        <v>11.2</v>
      </c>
      <c r="L11" s="266">
        <v>10.920000000000002</v>
      </c>
      <c r="M11" s="260">
        <v>0</v>
      </c>
      <c r="N11" s="87">
        <f t="shared" si="2"/>
        <v>22.12</v>
      </c>
      <c r="O11" s="266">
        <v>1486.8</v>
      </c>
      <c r="P11" s="266">
        <v>19.759999999999998</v>
      </c>
      <c r="Q11" s="260">
        <v>0</v>
      </c>
      <c r="R11" s="87">
        <f t="shared" si="3"/>
        <v>1506.56</v>
      </c>
      <c r="S11" s="266">
        <f>(10+60)*4</f>
        <v>280</v>
      </c>
      <c r="T11" s="266">
        <f>(((2+2)*1.3)*2)*2</f>
        <v>20.8</v>
      </c>
      <c r="U11" s="260">
        <v>0</v>
      </c>
      <c r="V11" s="87">
        <f t="shared" si="4"/>
        <v>300.8</v>
      </c>
      <c r="W11" s="266">
        <v>140</v>
      </c>
      <c r="X11" s="266">
        <f>(((3+2)*1.3)*2)*2</f>
        <v>26</v>
      </c>
      <c r="Y11" s="260">
        <v>0</v>
      </c>
      <c r="Z11" s="87">
        <f t="shared" si="5"/>
        <v>166</v>
      </c>
      <c r="AA11" s="94">
        <f t="shared" si="12"/>
        <v>3745.2799999999997</v>
      </c>
      <c r="AB11" s="96" t="s">
        <v>53</v>
      </c>
      <c r="AC11" s="138"/>
      <c r="AD11" s="146">
        <v>4</v>
      </c>
      <c r="AE11" s="147" t="s">
        <v>7</v>
      </c>
      <c r="AF11" s="141">
        <f t="shared" si="6"/>
        <v>3618.4</v>
      </c>
      <c r="AG11" s="141">
        <f t="shared" si="6"/>
        <v>126.88000000000001</v>
      </c>
      <c r="AH11" s="141">
        <f t="shared" si="7"/>
        <v>0</v>
      </c>
      <c r="AI11" s="108"/>
      <c r="AJ11" s="148">
        <v>4</v>
      </c>
      <c r="AK11" s="149" t="s">
        <v>7</v>
      </c>
      <c r="AL11" s="144">
        <f t="shared" si="8"/>
        <v>3618.4</v>
      </c>
      <c r="AM11" s="145">
        <f t="shared" si="9"/>
        <v>0.96612269309637744</v>
      </c>
      <c r="AN11" s="144">
        <f t="shared" si="13"/>
        <v>126.88000000000001</v>
      </c>
      <c r="AO11" s="145">
        <f t="shared" si="10"/>
        <v>3.38773069036227E-2</v>
      </c>
      <c r="AP11" s="144">
        <f t="shared" si="14"/>
        <v>0</v>
      </c>
      <c r="AQ11" s="145">
        <f t="shared" si="11"/>
        <v>0</v>
      </c>
    </row>
    <row r="12" spans="1:43" x14ac:dyDescent="0.25">
      <c r="A12" s="156">
        <v>5</v>
      </c>
      <c r="B12" s="157" t="s">
        <v>8</v>
      </c>
      <c r="C12" s="266">
        <v>232</v>
      </c>
      <c r="D12" s="266">
        <v>39</v>
      </c>
      <c r="E12" s="260">
        <v>0</v>
      </c>
      <c r="F12" s="87">
        <f t="shared" si="0"/>
        <v>271</v>
      </c>
      <c r="G12" s="266">
        <v>861.2</v>
      </c>
      <c r="H12" s="266">
        <f>(((3.7+1)*1.3)*2)*2</f>
        <v>24.44</v>
      </c>
      <c r="I12" s="260">
        <v>0</v>
      </c>
      <c r="J12" s="87">
        <f t="shared" si="1"/>
        <v>885.6400000000001</v>
      </c>
      <c r="K12" s="266">
        <v>14</v>
      </c>
      <c r="L12" s="266">
        <v>16.12</v>
      </c>
      <c r="M12" s="260">
        <v>0</v>
      </c>
      <c r="N12" s="87">
        <f t="shared" si="2"/>
        <v>30.12</v>
      </c>
      <c r="O12" s="266">
        <v>1680.4</v>
      </c>
      <c r="P12" s="266">
        <f>(((4.1+2)*1.3)*2)*2</f>
        <v>31.72</v>
      </c>
      <c r="Q12" s="260">
        <v>0</v>
      </c>
      <c r="R12" s="87">
        <f t="shared" si="3"/>
        <v>1712.1200000000001</v>
      </c>
      <c r="S12" s="266">
        <v>320</v>
      </c>
      <c r="T12" s="266">
        <f>(((2+1)*1.3)*2)*2</f>
        <v>15.600000000000001</v>
      </c>
      <c r="U12" s="260">
        <v>0</v>
      </c>
      <c r="V12" s="87">
        <f t="shared" si="4"/>
        <v>335.6</v>
      </c>
      <c r="W12" s="266">
        <v>120</v>
      </c>
      <c r="X12" s="266">
        <v>15.600000000000001</v>
      </c>
      <c r="Y12" s="260">
        <v>0</v>
      </c>
      <c r="Z12" s="87">
        <f t="shared" si="5"/>
        <v>135.6</v>
      </c>
      <c r="AA12" s="94">
        <f t="shared" si="12"/>
        <v>3370.08</v>
      </c>
      <c r="AB12" s="96" t="s">
        <v>53</v>
      </c>
      <c r="AC12" s="138"/>
      <c r="AD12" s="146">
        <v>5</v>
      </c>
      <c r="AE12" s="147" t="s">
        <v>8</v>
      </c>
      <c r="AF12" s="141">
        <f t="shared" si="6"/>
        <v>3227.6000000000004</v>
      </c>
      <c r="AG12" s="141">
        <f t="shared" si="6"/>
        <v>142.47999999999999</v>
      </c>
      <c r="AH12" s="141">
        <f t="shared" si="7"/>
        <v>0</v>
      </c>
      <c r="AI12" s="108"/>
      <c r="AJ12" s="148">
        <v>5</v>
      </c>
      <c r="AK12" s="149" t="s">
        <v>8</v>
      </c>
      <c r="AL12" s="144">
        <f t="shared" si="8"/>
        <v>3227.6000000000004</v>
      </c>
      <c r="AM12" s="145">
        <f t="shared" si="9"/>
        <v>0.95772207187959946</v>
      </c>
      <c r="AN12" s="144">
        <f t="shared" si="13"/>
        <v>142.47999999999999</v>
      </c>
      <c r="AO12" s="145">
        <f t="shared" si="10"/>
        <v>4.2277928120400703E-2</v>
      </c>
      <c r="AP12" s="144">
        <f t="shared" si="14"/>
        <v>0</v>
      </c>
      <c r="AQ12" s="145">
        <f t="shared" si="11"/>
        <v>0</v>
      </c>
    </row>
    <row r="13" spans="1:43" x14ac:dyDescent="0.25">
      <c r="A13" s="156">
        <v>6</v>
      </c>
      <c r="B13" s="157" t="s">
        <v>9</v>
      </c>
      <c r="C13" s="266">
        <v>316</v>
      </c>
      <c r="D13" s="266">
        <f>(((3.8+1)*1.3)*2)*2</f>
        <v>24.96</v>
      </c>
      <c r="E13" s="260">
        <v>0</v>
      </c>
      <c r="F13" s="87">
        <f t="shared" si="0"/>
        <v>340.96</v>
      </c>
      <c r="G13" s="266">
        <v>1054.8</v>
      </c>
      <c r="H13" s="266">
        <v>5.2</v>
      </c>
      <c r="I13" s="260">
        <v>0</v>
      </c>
      <c r="J13" s="87">
        <f t="shared" si="1"/>
        <v>1060</v>
      </c>
      <c r="K13" s="266">
        <v>8.8000000000000007</v>
      </c>
      <c r="L13" s="266">
        <v>0</v>
      </c>
      <c r="M13" s="260">
        <v>0</v>
      </c>
      <c r="N13" s="87">
        <f t="shared" si="2"/>
        <v>8.8000000000000007</v>
      </c>
      <c r="O13" s="266">
        <v>1279.2</v>
      </c>
      <c r="P13" s="266">
        <v>5.2</v>
      </c>
      <c r="Q13" s="260">
        <v>0</v>
      </c>
      <c r="R13" s="87">
        <f t="shared" si="3"/>
        <v>1284.4000000000001</v>
      </c>
      <c r="S13" s="266">
        <v>400</v>
      </c>
      <c r="T13" s="266">
        <f>(((1+2)*1.3)*2)*2</f>
        <v>15.600000000000001</v>
      </c>
      <c r="U13" s="260">
        <v>0</v>
      </c>
      <c r="V13" s="87">
        <f t="shared" si="4"/>
        <v>415.6</v>
      </c>
      <c r="W13" s="266">
        <v>200</v>
      </c>
      <c r="X13" s="266">
        <v>10.4</v>
      </c>
      <c r="Y13" s="260">
        <v>0</v>
      </c>
      <c r="Z13" s="87">
        <f t="shared" si="5"/>
        <v>210.4</v>
      </c>
      <c r="AA13" s="94">
        <f t="shared" si="12"/>
        <v>3320.16</v>
      </c>
      <c r="AB13" s="96" t="s">
        <v>53</v>
      </c>
      <c r="AC13" s="138"/>
      <c r="AD13" s="146">
        <v>6</v>
      </c>
      <c r="AE13" s="147" t="s">
        <v>9</v>
      </c>
      <c r="AF13" s="141">
        <f t="shared" si="6"/>
        <v>3258.8</v>
      </c>
      <c r="AG13" s="141">
        <f t="shared" si="6"/>
        <v>61.36</v>
      </c>
      <c r="AH13" s="141">
        <f t="shared" si="7"/>
        <v>0</v>
      </c>
      <c r="AI13" s="108"/>
      <c r="AJ13" s="148">
        <v>6</v>
      </c>
      <c r="AK13" s="149" t="s">
        <v>9</v>
      </c>
      <c r="AL13" s="144">
        <f t="shared" si="8"/>
        <v>3258.8</v>
      </c>
      <c r="AM13" s="145">
        <f t="shared" si="9"/>
        <v>0.98151896294154506</v>
      </c>
      <c r="AN13" s="144">
        <f t="shared" si="13"/>
        <v>61.36</v>
      </c>
      <c r="AO13" s="145">
        <f t="shared" si="10"/>
        <v>1.8481037058455014E-2</v>
      </c>
      <c r="AP13" s="144">
        <f t="shared" si="14"/>
        <v>0</v>
      </c>
      <c r="AQ13" s="145">
        <f t="shared" si="11"/>
        <v>0</v>
      </c>
    </row>
    <row r="14" spans="1:43" x14ac:dyDescent="0.25">
      <c r="A14" s="156">
        <v>7</v>
      </c>
      <c r="B14" s="157" t="s">
        <v>10</v>
      </c>
      <c r="C14" s="266">
        <v>232</v>
      </c>
      <c r="D14" s="266">
        <f>(((5+1)*1.3)*2)*2</f>
        <v>31.200000000000003</v>
      </c>
      <c r="E14" s="260">
        <v>0</v>
      </c>
      <c r="F14" s="87">
        <f t="shared" si="0"/>
        <v>263.2</v>
      </c>
      <c r="G14" s="266">
        <v>1058</v>
      </c>
      <c r="H14" s="266">
        <f>(((2.8+1)*1.3)*2)*2</f>
        <v>19.759999999999998</v>
      </c>
      <c r="I14" s="260">
        <v>0</v>
      </c>
      <c r="J14" s="87">
        <f t="shared" si="1"/>
        <v>1077.76</v>
      </c>
      <c r="K14" s="266">
        <v>10.8</v>
      </c>
      <c r="L14" s="266">
        <v>9.3600000000000012</v>
      </c>
      <c r="M14" s="260">
        <v>0</v>
      </c>
      <c r="N14" s="87">
        <f t="shared" si="2"/>
        <v>20.160000000000004</v>
      </c>
      <c r="O14" s="266">
        <v>1686.4</v>
      </c>
      <c r="P14" s="266">
        <f>(((3.1+1)*1.3)*2)*2</f>
        <v>21.32</v>
      </c>
      <c r="Q14" s="260">
        <v>0</v>
      </c>
      <c r="R14" s="87">
        <f t="shared" si="3"/>
        <v>1707.72</v>
      </c>
      <c r="S14" s="266">
        <f>(10+60)*4</f>
        <v>280</v>
      </c>
      <c r="T14" s="266">
        <v>5.2</v>
      </c>
      <c r="U14" s="260">
        <v>0</v>
      </c>
      <c r="V14" s="87">
        <f t="shared" si="4"/>
        <v>285.2</v>
      </c>
      <c r="W14" s="266">
        <v>180</v>
      </c>
      <c r="X14" s="266">
        <v>10.4</v>
      </c>
      <c r="Y14" s="260">
        <v>0</v>
      </c>
      <c r="Z14" s="87">
        <f t="shared" si="5"/>
        <v>190.4</v>
      </c>
      <c r="AA14" s="94">
        <f t="shared" si="12"/>
        <v>3544.44</v>
      </c>
      <c r="AB14" s="96" t="s">
        <v>53</v>
      </c>
      <c r="AC14" s="138"/>
      <c r="AD14" s="146">
        <v>7</v>
      </c>
      <c r="AE14" s="147" t="s">
        <v>10</v>
      </c>
      <c r="AF14" s="141">
        <f t="shared" si="6"/>
        <v>3447.2</v>
      </c>
      <c r="AG14" s="141">
        <f t="shared" si="6"/>
        <v>97.240000000000009</v>
      </c>
      <c r="AH14" s="141">
        <f t="shared" si="7"/>
        <v>0</v>
      </c>
      <c r="AI14" s="108"/>
      <c r="AJ14" s="148">
        <v>7</v>
      </c>
      <c r="AK14" s="149" t="s">
        <v>10</v>
      </c>
      <c r="AL14" s="144">
        <f t="shared" si="8"/>
        <v>3447.2</v>
      </c>
      <c r="AM14" s="145">
        <f t="shared" si="9"/>
        <v>0.97256548284073074</v>
      </c>
      <c r="AN14" s="144">
        <f t="shared" si="13"/>
        <v>97.240000000000009</v>
      </c>
      <c r="AO14" s="145">
        <f t="shared" si="10"/>
        <v>2.7434517159269166E-2</v>
      </c>
      <c r="AP14" s="144">
        <f t="shared" si="14"/>
        <v>0</v>
      </c>
      <c r="AQ14" s="145">
        <f t="shared" si="11"/>
        <v>0</v>
      </c>
    </row>
    <row r="15" spans="1:43" x14ac:dyDescent="0.25">
      <c r="A15" s="156">
        <v>8</v>
      </c>
      <c r="B15" s="157" t="s">
        <v>11</v>
      </c>
      <c r="C15" s="266">
        <v>32</v>
      </c>
      <c r="D15" s="266">
        <v>5.2</v>
      </c>
      <c r="E15" s="260">
        <v>0</v>
      </c>
      <c r="F15" s="87">
        <f t="shared" si="0"/>
        <v>37.200000000000003</v>
      </c>
      <c r="G15" s="266">
        <v>40</v>
      </c>
      <c r="H15" s="266">
        <v>5.2</v>
      </c>
      <c r="I15" s="260">
        <v>0</v>
      </c>
      <c r="J15" s="87">
        <f t="shared" si="1"/>
        <v>45.2</v>
      </c>
      <c r="K15" s="266">
        <v>11.2</v>
      </c>
      <c r="L15" s="266">
        <v>9.3600000000000012</v>
      </c>
      <c r="M15" s="260">
        <v>0</v>
      </c>
      <c r="N15" s="87">
        <f t="shared" si="2"/>
        <v>20.560000000000002</v>
      </c>
      <c r="O15" s="266">
        <v>86</v>
      </c>
      <c r="P15" s="266">
        <v>18.2</v>
      </c>
      <c r="Q15" s="260">
        <v>0</v>
      </c>
      <c r="R15" s="87">
        <f t="shared" si="3"/>
        <v>104.2</v>
      </c>
      <c r="S15" s="266">
        <v>40</v>
      </c>
      <c r="T15" s="266">
        <f>(((1+2)*1.3)*2)*2</f>
        <v>15.600000000000001</v>
      </c>
      <c r="U15" s="260">
        <v>0</v>
      </c>
      <c r="V15" s="87">
        <f t="shared" si="4"/>
        <v>55.6</v>
      </c>
      <c r="W15" s="266">
        <v>120</v>
      </c>
      <c r="X15" s="266">
        <f>(((1+1)*1.3)*2)*2</f>
        <v>10.4</v>
      </c>
      <c r="Y15" s="260">
        <v>0</v>
      </c>
      <c r="Z15" s="87">
        <f t="shared" si="5"/>
        <v>130.4</v>
      </c>
      <c r="AA15" s="94">
        <f t="shared" si="12"/>
        <v>393.16000000000008</v>
      </c>
      <c r="AB15" s="96" t="s">
        <v>53</v>
      </c>
      <c r="AC15" s="138"/>
      <c r="AD15" s="146">
        <v>8</v>
      </c>
      <c r="AE15" s="147" t="s">
        <v>11</v>
      </c>
      <c r="AF15" s="141">
        <f t="shared" si="6"/>
        <v>329.2</v>
      </c>
      <c r="AG15" s="141">
        <f t="shared" si="6"/>
        <v>63.96</v>
      </c>
      <c r="AH15" s="141">
        <f t="shared" si="7"/>
        <v>0</v>
      </c>
      <c r="AI15" s="108"/>
      <c r="AJ15" s="148">
        <v>8</v>
      </c>
      <c r="AK15" s="149" t="s">
        <v>11</v>
      </c>
      <c r="AL15" s="144">
        <f t="shared" si="8"/>
        <v>329.2</v>
      </c>
      <c r="AM15" s="145">
        <f t="shared" si="9"/>
        <v>0.83731814019737494</v>
      </c>
      <c r="AN15" s="144">
        <f t="shared" si="13"/>
        <v>63.96</v>
      </c>
      <c r="AO15" s="145">
        <f t="shared" si="10"/>
        <v>0.16268185980262487</v>
      </c>
      <c r="AP15" s="144">
        <f t="shared" si="14"/>
        <v>0</v>
      </c>
      <c r="AQ15" s="145">
        <f t="shared" si="11"/>
        <v>0</v>
      </c>
    </row>
    <row r="16" spans="1:43" x14ac:dyDescent="0.25">
      <c r="A16" s="156">
        <v>9</v>
      </c>
      <c r="B16" s="157" t="s">
        <v>12</v>
      </c>
      <c r="C16" s="266">
        <v>0</v>
      </c>
      <c r="D16" s="266">
        <v>0</v>
      </c>
      <c r="E16" s="260">
        <v>0</v>
      </c>
      <c r="F16" s="87">
        <f t="shared" si="0"/>
        <v>0</v>
      </c>
      <c r="G16" s="266">
        <v>0</v>
      </c>
      <c r="H16" s="266">
        <v>5.2</v>
      </c>
      <c r="I16" s="260">
        <v>0</v>
      </c>
      <c r="J16" s="87">
        <f t="shared" si="1"/>
        <v>5.2</v>
      </c>
      <c r="K16" s="266">
        <v>8.8000000000000007</v>
      </c>
      <c r="L16" s="266">
        <v>20.28</v>
      </c>
      <c r="M16" s="260">
        <v>0</v>
      </c>
      <c r="N16" s="87">
        <f t="shared" si="2"/>
        <v>29.080000000000002</v>
      </c>
      <c r="O16" s="266">
        <v>0</v>
      </c>
      <c r="P16" s="266">
        <f>(((1.4+1)*1.3)*2)*2</f>
        <v>12.48</v>
      </c>
      <c r="Q16" s="260">
        <v>0</v>
      </c>
      <c r="R16" s="87">
        <f t="shared" si="3"/>
        <v>12.48</v>
      </c>
      <c r="S16" s="266">
        <v>0</v>
      </c>
      <c r="T16" s="266">
        <v>5.2</v>
      </c>
      <c r="U16" s="260">
        <v>0</v>
      </c>
      <c r="V16" s="87">
        <f t="shared" si="4"/>
        <v>5.2</v>
      </c>
      <c r="W16" s="266">
        <v>0</v>
      </c>
      <c r="X16" s="266">
        <v>0</v>
      </c>
      <c r="Y16" s="260">
        <v>0</v>
      </c>
      <c r="Z16" s="87">
        <f t="shared" si="5"/>
        <v>0</v>
      </c>
      <c r="AA16" s="94">
        <f t="shared" si="12"/>
        <v>51.960000000000008</v>
      </c>
      <c r="AB16" s="96" t="s">
        <v>53</v>
      </c>
      <c r="AC16" s="138"/>
      <c r="AD16" s="146">
        <v>9</v>
      </c>
      <c r="AE16" s="147" t="s">
        <v>12</v>
      </c>
      <c r="AF16" s="141">
        <f t="shared" si="6"/>
        <v>8.8000000000000007</v>
      </c>
      <c r="AG16" s="141">
        <f t="shared" si="6"/>
        <v>43.160000000000004</v>
      </c>
      <c r="AH16" s="141">
        <f t="shared" si="7"/>
        <v>0</v>
      </c>
      <c r="AI16" s="108"/>
      <c r="AJ16" s="148">
        <v>9</v>
      </c>
      <c r="AK16" s="149" t="s">
        <v>12</v>
      </c>
      <c r="AL16" s="144">
        <f t="shared" si="8"/>
        <v>8.8000000000000007</v>
      </c>
      <c r="AM16" s="145">
        <f t="shared" si="9"/>
        <v>0.16936104695919937</v>
      </c>
      <c r="AN16" s="144">
        <f t="shared" si="13"/>
        <v>43.160000000000004</v>
      </c>
      <c r="AO16" s="145">
        <f t="shared" si="10"/>
        <v>0.8306389530408006</v>
      </c>
      <c r="AP16" s="144">
        <f t="shared" si="14"/>
        <v>0</v>
      </c>
      <c r="AQ16" s="145">
        <f t="shared" si="11"/>
        <v>0</v>
      </c>
    </row>
    <row r="17" spans="1:43" x14ac:dyDescent="0.25">
      <c r="A17" s="156">
        <v>10</v>
      </c>
      <c r="B17" s="157" t="s">
        <v>13</v>
      </c>
      <c r="C17" s="266">
        <v>232</v>
      </c>
      <c r="D17" s="266">
        <f>(((1+2)*1.3)*2)*2</f>
        <v>15.600000000000001</v>
      </c>
      <c r="E17" s="260">
        <v>0</v>
      </c>
      <c r="F17" s="87">
        <f t="shared" si="0"/>
        <v>247.6</v>
      </c>
      <c r="G17" s="266">
        <v>1262.8</v>
      </c>
      <c r="H17" s="266">
        <v>19.759999999999998</v>
      </c>
      <c r="I17" s="260">
        <v>0</v>
      </c>
      <c r="J17" s="87">
        <f t="shared" si="1"/>
        <v>1282.56</v>
      </c>
      <c r="K17" s="266">
        <v>14</v>
      </c>
      <c r="L17" s="266">
        <v>0</v>
      </c>
      <c r="M17" s="260">
        <v>0</v>
      </c>
      <c r="N17" s="87">
        <f t="shared" si="2"/>
        <v>14</v>
      </c>
      <c r="O17" s="266">
        <v>1682</v>
      </c>
      <c r="P17" s="266">
        <v>14.040000000000001</v>
      </c>
      <c r="Q17" s="260">
        <v>0</v>
      </c>
      <c r="R17" s="87">
        <f t="shared" si="3"/>
        <v>1696.04</v>
      </c>
      <c r="S17" s="266">
        <f>(10+60)*4</f>
        <v>280</v>
      </c>
      <c r="T17" s="266">
        <f>(((1+1)*1.3)*2)*2</f>
        <v>10.4</v>
      </c>
      <c r="U17" s="260">
        <v>0</v>
      </c>
      <c r="V17" s="87">
        <f t="shared" si="4"/>
        <v>290.39999999999998</v>
      </c>
      <c r="W17" s="266">
        <v>140</v>
      </c>
      <c r="X17" s="266">
        <v>5.2</v>
      </c>
      <c r="Y17" s="260">
        <v>0</v>
      </c>
      <c r="Z17" s="87">
        <f t="shared" si="5"/>
        <v>145.19999999999999</v>
      </c>
      <c r="AA17" s="94">
        <f t="shared" si="12"/>
        <v>3675.7999999999997</v>
      </c>
      <c r="AB17" s="96" t="s">
        <v>53</v>
      </c>
      <c r="AC17" s="138"/>
      <c r="AD17" s="146">
        <v>10</v>
      </c>
      <c r="AE17" s="147" t="s">
        <v>13</v>
      </c>
      <c r="AF17" s="141">
        <f>(C17+G17+K17+O17+S17+W17)</f>
        <v>3610.8</v>
      </c>
      <c r="AG17" s="141">
        <f>(D17+H17+L17+P17+T17+X17)</f>
        <v>65</v>
      </c>
      <c r="AH17" s="141">
        <f>(E17+I17+M17+Q17++U17+Y17)</f>
        <v>0</v>
      </c>
      <c r="AI17" s="108"/>
      <c r="AJ17" s="148">
        <v>10</v>
      </c>
      <c r="AK17" s="149" t="s">
        <v>13</v>
      </c>
      <c r="AL17" s="144">
        <f t="shared" si="8"/>
        <v>3610.8</v>
      </c>
      <c r="AM17" s="145">
        <f t="shared" si="9"/>
        <v>0.98231677457968347</v>
      </c>
      <c r="AN17" s="144">
        <f t="shared" si="13"/>
        <v>65</v>
      </c>
      <c r="AO17" s="145">
        <f t="shared" si="10"/>
        <v>1.7683225420316667E-2</v>
      </c>
      <c r="AP17" s="144">
        <f t="shared" si="14"/>
        <v>0</v>
      </c>
      <c r="AQ17" s="145">
        <f t="shared" si="11"/>
        <v>0</v>
      </c>
    </row>
    <row r="18" spans="1:43" x14ac:dyDescent="0.25">
      <c r="A18" s="156">
        <v>11</v>
      </c>
      <c r="B18" s="157" t="s">
        <v>14</v>
      </c>
      <c r="C18" s="266">
        <v>232</v>
      </c>
      <c r="D18" s="266">
        <f>(((1+1)*1.3)*2)*2</f>
        <v>10.4</v>
      </c>
      <c r="E18" s="260">
        <v>0</v>
      </c>
      <c r="F18" s="87">
        <f t="shared" si="0"/>
        <v>242.4</v>
      </c>
      <c r="G18" s="266">
        <v>1454.8</v>
      </c>
      <c r="H18" s="266">
        <f>(((7.2+1)*1.3)*2)*2</f>
        <v>42.64</v>
      </c>
      <c r="I18" s="260">
        <v>0</v>
      </c>
      <c r="J18" s="87">
        <f t="shared" si="1"/>
        <v>1497.44</v>
      </c>
      <c r="K18" s="266">
        <v>14.4</v>
      </c>
      <c r="L18" s="266">
        <v>0</v>
      </c>
      <c r="M18" s="260">
        <v>0</v>
      </c>
      <c r="N18" s="87">
        <f t="shared" si="2"/>
        <v>14.4</v>
      </c>
      <c r="O18" s="266">
        <v>1678.8</v>
      </c>
      <c r="P18" s="266">
        <f>(((1+2)*1.3)*2)*2</f>
        <v>15.600000000000001</v>
      </c>
      <c r="Q18" s="260">
        <v>0</v>
      </c>
      <c r="R18" s="87">
        <f t="shared" si="3"/>
        <v>1694.3999999999999</v>
      </c>
      <c r="S18" s="266">
        <f>(10+70)*4</f>
        <v>320</v>
      </c>
      <c r="T18" s="266">
        <f>(((1+4)*1.3)*2)*2</f>
        <v>26</v>
      </c>
      <c r="U18" s="260">
        <v>0</v>
      </c>
      <c r="V18" s="87">
        <f t="shared" si="4"/>
        <v>346</v>
      </c>
      <c r="W18" s="266">
        <v>180</v>
      </c>
      <c r="X18" s="266">
        <v>5.2</v>
      </c>
      <c r="Y18" s="260">
        <v>0</v>
      </c>
      <c r="Z18" s="87">
        <f t="shared" si="5"/>
        <v>185.2</v>
      </c>
      <c r="AA18" s="94">
        <f t="shared" si="12"/>
        <v>3979.84</v>
      </c>
      <c r="AB18" s="96" t="s">
        <v>53</v>
      </c>
      <c r="AC18" s="138"/>
      <c r="AD18" s="146">
        <v>11</v>
      </c>
      <c r="AE18" s="147" t="s">
        <v>14</v>
      </c>
      <c r="AF18" s="141">
        <f t="shared" ref="AF18:AG38" si="15">(C18+G18+K18+O18+S18+W18)</f>
        <v>3880</v>
      </c>
      <c r="AG18" s="141">
        <f t="shared" si="15"/>
        <v>99.84</v>
      </c>
      <c r="AH18" s="141">
        <f t="shared" ref="AH18:AH38" si="16">(E18+I18+M18+Q18++U18+Y18)</f>
        <v>0</v>
      </c>
      <c r="AI18" s="108"/>
      <c r="AJ18" s="148">
        <v>11</v>
      </c>
      <c r="AK18" s="149" t="s">
        <v>14</v>
      </c>
      <c r="AL18" s="144">
        <f t="shared" si="8"/>
        <v>3880</v>
      </c>
      <c r="AM18" s="145">
        <f t="shared" si="9"/>
        <v>0.97491356436439647</v>
      </c>
      <c r="AN18" s="144">
        <f t="shared" si="13"/>
        <v>99.84</v>
      </c>
      <c r="AO18" s="145">
        <f t="shared" si="10"/>
        <v>2.5086435635603442E-2</v>
      </c>
      <c r="AP18" s="144">
        <f t="shared" si="14"/>
        <v>0</v>
      </c>
      <c r="AQ18" s="145">
        <f t="shared" si="11"/>
        <v>0</v>
      </c>
    </row>
    <row r="19" spans="1:43" x14ac:dyDescent="0.25">
      <c r="A19" s="156">
        <v>12</v>
      </c>
      <c r="B19" s="157" t="s">
        <v>15</v>
      </c>
      <c r="C19" s="266">
        <v>432</v>
      </c>
      <c r="D19" s="266">
        <v>27.040000000000003</v>
      </c>
      <c r="E19" s="260">
        <v>0</v>
      </c>
      <c r="F19" s="87">
        <f t="shared" si="0"/>
        <v>459.04</v>
      </c>
      <c r="G19" s="266">
        <v>855.6</v>
      </c>
      <c r="H19" s="266">
        <v>5.2</v>
      </c>
      <c r="I19" s="260">
        <v>0</v>
      </c>
      <c r="J19" s="87">
        <f t="shared" si="1"/>
        <v>860.80000000000007</v>
      </c>
      <c r="K19" s="266">
        <v>14.8</v>
      </c>
      <c r="L19" s="266">
        <v>9.3600000000000012</v>
      </c>
      <c r="M19" s="260">
        <v>0</v>
      </c>
      <c r="N19" s="87">
        <f t="shared" si="2"/>
        <v>24.160000000000004</v>
      </c>
      <c r="O19" s="266">
        <v>1279.5999999999999</v>
      </c>
      <c r="P19" s="266">
        <v>16.64</v>
      </c>
      <c r="Q19" s="260">
        <v>0</v>
      </c>
      <c r="R19" s="87">
        <f t="shared" si="3"/>
        <v>1296.24</v>
      </c>
      <c r="S19" s="266">
        <f>(10+60)*4</f>
        <v>280</v>
      </c>
      <c r="T19" s="266">
        <v>5.2</v>
      </c>
      <c r="U19" s="260">
        <v>0</v>
      </c>
      <c r="V19" s="87">
        <f t="shared" si="4"/>
        <v>285.2</v>
      </c>
      <c r="W19" s="266">
        <v>140</v>
      </c>
      <c r="X19" s="266">
        <v>5.2</v>
      </c>
      <c r="Y19" s="260">
        <v>0</v>
      </c>
      <c r="Z19" s="87">
        <f t="shared" si="5"/>
        <v>145.19999999999999</v>
      </c>
      <c r="AA19" s="94">
        <f t="shared" si="12"/>
        <v>3070.64</v>
      </c>
      <c r="AB19" s="96" t="s">
        <v>53</v>
      </c>
      <c r="AC19" s="138"/>
      <c r="AD19" s="146">
        <v>12</v>
      </c>
      <c r="AE19" s="147" t="s">
        <v>15</v>
      </c>
      <c r="AF19" s="141">
        <f t="shared" si="15"/>
        <v>3002</v>
      </c>
      <c r="AG19" s="141">
        <f t="shared" si="15"/>
        <v>68.64</v>
      </c>
      <c r="AH19" s="141">
        <f t="shared" si="16"/>
        <v>0</v>
      </c>
      <c r="AI19" s="108"/>
      <c r="AJ19" s="148">
        <v>12</v>
      </c>
      <c r="AK19" s="149" t="s">
        <v>15</v>
      </c>
      <c r="AL19" s="144">
        <f t="shared" si="8"/>
        <v>3002</v>
      </c>
      <c r="AM19" s="145">
        <f t="shared" si="9"/>
        <v>0.9776463538545711</v>
      </c>
      <c r="AN19" s="144">
        <f t="shared" si="13"/>
        <v>68.64</v>
      </c>
      <c r="AO19" s="145">
        <f t="shared" si="10"/>
        <v>2.2353646145428965E-2</v>
      </c>
      <c r="AP19" s="144">
        <f t="shared" si="14"/>
        <v>0</v>
      </c>
      <c r="AQ19" s="145">
        <f t="shared" si="11"/>
        <v>0</v>
      </c>
    </row>
    <row r="20" spans="1:43" x14ac:dyDescent="0.25">
      <c r="A20" s="156">
        <v>13</v>
      </c>
      <c r="B20" s="157" t="s">
        <v>16</v>
      </c>
      <c r="C20" s="266">
        <v>480</v>
      </c>
      <c r="D20" s="266">
        <f>(((2.5+1)*1.3)*2)*2</f>
        <v>18.2</v>
      </c>
      <c r="E20" s="260">
        <v>0</v>
      </c>
      <c r="F20" s="87">
        <f t="shared" si="0"/>
        <v>498.2</v>
      </c>
      <c r="G20" s="266">
        <v>856</v>
      </c>
      <c r="H20" s="266">
        <v>5.2</v>
      </c>
      <c r="I20" s="260">
        <v>0</v>
      </c>
      <c r="J20" s="87">
        <f t="shared" si="1"/>
        <v>861.2</v>
      </c>
      <c r="K20" s="266">
        <v>11.6</v>
      </c>
      <c r="L20" s="266">
        <v>14.040000000000001</v>
      </c>
      <c r="M20" s="260">
        <v>0</v>
      </c>
      <c r="N20" s="87">
        <f t="shared" si="2"/>
        <v>25.64</v>
      </c>
      <c r="O20" s="266">
        <v>1484.4</v>
      </c>
      <c r="P20" s="266">
        <f>(((2.8+1)*1.3)*2)*2</f>
        <v>19.759999999999998</v>
      </c>
      <c r="Q20" s="260">
        <v>0</v>
      </c>
      <c r="R20" s="87">
        <f t="shared" si="3"/>
        <v>1504.16</v>
      </c>
      <c r="S20" s="266">
        <f>(10+50)*4</f>
        <v>240</v>
      </c>
      <c r="T20" s="266">
        <f>(((1+1)*1.3)*2)*2</f>
        <v>10.4</v>
      </c>
      <c r="U20" s="260">
        <v>0</v>
      </c>
      <c r="V20" s="87">
        <f t="shared" si="4"/>
        <v>250.4</v>
      </c>
      <c r="W20" s="266">
        <v>120</v>
      </c>
      <c r="X20" s="266">
        <f>(((1+2)*1.3)*2)*2</f>
        <v>15.600000000000001</v>
      </c>
      <c r="Y20" s="260">
        <v>0</v>
      </c>
      <c r="Z20" s="87">
        <f t="shared" si="5"/>
        <v>135.6</v>
      </c>
      <c r="AA20" s="94">
        <f t="shared" si="12"/>
        <v>3275.2000000000003</v>
      </c>
      <c r="AB20" s="96" t="s">
        <v>53</v>
      </c>
      <c r="AC20" s="138"/>
      <c r="AD20" s="146">
        <v>13</v>
      </c>
      <c r="AE20" s="147" t="s">
        <v>16</v>
      </c>
      <c r="AF20" s="141">
        <f t="shared" si="15"/>
        <v>3192</v>
      </c>
      <c r="AG20" s="141">
        <f t="shared" si="15"/>
        <v>83.199999999999989</v>
      </c>
      <c r="AH20" s="141">
        <f t="shared" si="16"/>
        <v>0</v>
      </c>
      <c r="AI20" s="108"/>
      <c r="AJ20" s="148">
        <v>13</v>
      </c>
      <c r="AK20" s="149" t="s">
        <v>16</v>
      </c>
      <c r="AL20" s="144">
        <f t="shared" si="8"/>
        <v>3192</v>
      </c>
      <c r="AM20" s="145">
        <f t="shared" si="9"/>
        <v>0.97459697117733257</v>
      </c>
      <c r="AN20" s="144">
        <f t="shared" si="13"/>
        <v>83.199999999999989</v>
      </c>
      <c r="AO20" s="145">
        <f t="shared" si="10"/>
        <v>2.5403028822667314E-2</v>
      </c>
      <c r="AP20" s="144">
        <f t="shared" si="14"/>
        <v>0</v>
      </c>
      <c r="AQ20" s="145">
        <f t="shared" si="11"/>
        <v>0</v>
      </c>
    </row>
    <row r="21" spans="1:43" x14ac:dyDescent="0.25">
      <c r="A21" s="156">
        <v>14</v>
      </c>
      <c r="B21" s="157" t="s">
        <v>17</v>
      </c>
      <c r="C21" s="266">
        <v>432</v>
      </c>
      <c r="D21" s="266">
        <v>12.48</v>
      </c>
      <c r="E21" s="260">
        <v>0</v>
      </c>
      <c r="F21" s="87">
        <f t="shared" si="0"/>
        <v>444.48</v>
      </c>
      <c r="G21" s="266">
        <v>1052.4000000000001</v>
      </c>
      <c r="H21" s="266">
        <v>0</v>
      </c>
      <c r="I21" s="260">
        <v>0</v>
      </c>
      <c r="J21" s="87">
        <f t="shared" si="1"/>
        <v>1052.4000000000001</v>
      </c>
      <c r="K21" s="266">
        <v>10</v>
      </c>
      <c r="L21" s="266">
        <v>21.840000000000003</v>
      </c>
      <c r="M21" s="260">
        <v>0</v>
      </c>
      <c r="N21" s="87">
        <f t="shared" si="2"/>
        <v>31.840000000000003</v>
      </c>
      <c r="O21" s="266">
        <v>1486.8</v>
      </c>
      <c r="P21" s="266">
        <v>0</v>
      </c>
      <c r="Q21" s="260">
        <v>0</v>
      </c>
      <c r="R21" s="87">
        <f t="shared" si="3"/>
        <v>1486.8</v>
      </c>
      <c r="S21" s="266">
        <f>(10+60)*4</f>
        <v>280</v>
      </c>
      <c r="T21" s="266">
        <v>5.2</v>
      </c>
      <c r="U21" s="260">
        <v>0</v>
      </c>
      <c r="V21" s="87">
        <f t="shared" si="4"/>
        <v>285.2</v>
      </c>
      <c r="W21" s="266">
        <v>120</v>
      </c>
      <c r="X21" s="266">
        <v>0</v>
      </c>
      <c r="Y21" s="260">
        <v>0</v>
      </c>
      <c r="Z21" s="87">
        <f t="shared" si="5"/>
        <v>120</v>
      </c>
      <c r="AA21" s="94">
        <f t="shared" si="12"/>
        <v>3420.72</v>
      </c>
      <c r="AB21" s="96" t="s">
        <v>53</v>
      </c>
      <c r="AC21" s="138"/>
      <c r="AD21" s="146">
        <v>14</v>
      </c>
      <c r="AE21" s="147" t="s">
        <v>17</v>
      </c>
      <c r="AF21" s="141">
        <f t="shared" si="15"/>
        <v>3381.2</v>
      </c>
      <c r="AG21" s="141">
        <f t="shared" si="15"/>
        <v>39.52000000000001</v>
      </c>
      <c r="AH21" s="141">
        <f t="shared" si="16"/>
        <v>0</v>
      </c>
      <c r="AI21" s="108"/>
      <c r="AJ21" s="148">
        <v>14</v>
      </c>
      <c r="AK21" s="149" t="s">
        <v>17</v>
      </c>
      <c r="AL21" s="144">
        <f t="shared" si="8"/>
        <v>3381.2</v>
      </c>
      <c r="AM21" s="145">
        <f t="shared" si="9"/>
        <v>0.98844687668093267</v>
      </c>
      <c r="AN21" s="144">
        <f t="shared" si="13"/>
        <v>39.52000000000001</v>
      </c>
      <c r="AO21" s="145">
        <f t="shared" si="10"/>
        <v>1.1553123319067335E-2</v>
      </c>
      <c r="AP21" s="144">
        <f t="shared" si="14"/>
        <v>0</v>
      </c>
      <c r="AQ21" s="145">
        <f t="shared" si="11"/>
        <v>0</v>
      </c>
    </row>
    <row r="22" spans="1:43" x14ac:dyDescent="0.25">
      <c r="A22" s="156">
        <v>15</v>
      </c>
      <c r="B22" s="157" t="s">
        <v>18</v>
      </c>
      <c r="C22" s="266">
        <v>32</v>
      </c>
      <c r="D22" s="266">
        <v>10.4</v>
      </c>
      <c r="E22" s="260">
        <v>0</v>
      </c>
      <c r="F22" s="87">
        <f t="shared" si="0"/>
        <v>42.4</v>
      </c>
      <c r="G22" s="266">
        <v>40</v>
      </c>
      <c r="H22" s="266">
        <f>(((3.8+1)*1.3)*2)*2</f>
        <v>24.96</v>
      </c>
      <c r="I22" s="260">
        <v>0</v>
      </c>
      <c r="J22" s="87">
        <f t="shared" si="1"/>
        <v>64.960000000000008</v>
      </c>
      <c r="K22" s="266">
        <v>7.2</v>
      </c>
      <c r="L22" s="266">
        <v>0</v>
      </c>
      <c r="M22" s="260">
        <v>0</v>
      </c>
      <c r="N22" s="87">
        <f t="shared" si="2"/>
        <v>7.2</v>
      </c>
      <c r="O22" s="266">
        <v>79.2</v>
      </c>
      <c r="P22" s="266">
        <f>(((1.8+1)*1.3)*2)*2</f>
        <v>14.559999999999999</v>
      </c>
      <c r="Q22" s="260">
        <v>0</v>
      </c>
      <c r="R22" s="87">
        <f t="shared" si="3"/>
        <v>93.76</v>
      </c>
      <c r="S22" s="266">
        <v>40</v>
      </c>
      <c r="T22" s="266">
        <v>5.2</v>
      </c>
      <c r="U22" s="260">
        <v>0</v>
      </c>
      <c r="V22" s="87">
        <f t="shared" si="4"/>
        <v>45.2</v>
      </c>
      <c r="W22" s="266">
        <v>240</v>
      </c>
      <c r="X22" s="266">
        <v>0</v>
      </c>
      <c r="Y22" s="260">
        <v>0</v>
      </c>
      <c r="Z22" s="87">
        <f t="shared" si="5"/>
        <v>240</v>
      </c>
      <c r="AA22" s="94">
        <f t="shared" si="12"/>
        <v>493.52000000000004</v>
      </c>
      <c r="AB22" s="96" t="s">
        <v>53</v>
      </c>
      <c r="AC22" s="138"/>
      <c r="AD22" s="146">
        <v>15</v>
      </c>
      <c r="AE22" s="147" t="s">
        <v>18</v>
      </c>
      <c r="AF22" s="141">
        <f t="shared" si="15"/>
        <v>438.4</v>
      </c>
      <c r="AG22" s="141">
        <f t="shared" si="15"/>
        <v>55.120000000000005</v>
      </c>
      <c r="AH22" s="141">
        <f t="shared" si="16"/>
        <v>0</v>
      </c>
      <c r="AI22" s="108"/>
      <c r="AJ22" s="148">
        <v>15</v>
      </c>
      <c r="AK22" s="149" t="s">
        <v>18</v>
      </c>
      <c r="AL22" s="144">
        <f t="shared" si="8"/>
        <v>438.4</v>
      </c>
      <c r="AM22" s="145">
        <f t="shared" si="9"/>
        <v>0.8883125303939049</v>
      </c>
      <c r="AN22" s="144">
        <f t="shared" si="13"/>
        <v>55.120000000000005</v>
      </c>
      <c r="AO22" s="145">
        <f t="shared" si="10"/>
        <v>0.11168746960609499</v>
      </c>
      <c r="AP22" s="144">
        <f t="shared" si="14"/>
        <v>0</v>
      </c>
      <c r="AQ22" s="145">
        <f t="shared" si="11"/>
        <v>0</v>
      </c>
    </row>
    <row r="23" spans="1:43" x14ac:dyDescent="0.25">
      <c r="A23" s="156">
        <v>16</v>
      </c>
      <c r="B23" s="157" t="s">
        <v>19</v>
      </c>
      <c r="C23" s="266">
        <v>0</v>
      </c>
      <c r="D23" s="266">
        <v>5.2</v>
      </c>
      <c r="E23" s="260">
        <v>0</v>
      </c>
      <c r="F23" s="87">
        <f t="shared" si="0"/>
        <v>5.2</v>
      </c>
      <c r="G23" s="266">
        <v>0</v>
      </c>
      <c r="H23" s="266">
        <v>10.920000000000002</v>
      </c>
      <c r="I23" s="260">
        <v>0</v>
      </c>
      <c r="J23" s="87">
        <f t="shared" si="1"/>
        <v>10.920000000000002</v>
      </c>
      <c r="K23" s="266">
        <v>6</v>
      </c>
      <c r="L23" s="266">
        <v>9.3600000000000012</v>
      </c>
      <c r="M23" s="260">
        <v>0</v>
      </c>
      <c r="N23" s="87">
        <f t="shared" si="2"/>
        <v>15.360000000000001</v>
      </c>
      <c r="O23" s="266">
        <v>0</v>
      </c>
      <c r="P23" s="266">
        <v>5.2</v>
      </c>
      <c r="Q23" s="260">
        <v>0</v>
      </c>
      <c r="R23" s="87">
        <f t="shared" si="3"/>
        <v>5.2</v>
      </c>
      <c r="S23" s="266">
        <v>0</v>
      </c>
      <c r="T23" s="266">
        <v>10.4</v>
      </c>
      <c r="U23" s="260">
        <v>0</v>
      </c>
      <c r="V23" s="87">
        <f t="shared" si="4"/>
        <v>10.4</v>
      </c>
      <c r="W23" s="266">
        <v>0</v>
      </c>
      <c r="X23" s="266">
        <v>0</v>
      </c>
      <c r="Y23" s="260">
        <v>0</v>
      </c>
      <c r="Z23" s="87">
        <f t="shared" si="5"/>
        <v>0</v>
      </c>
      <c r="AA23" s="94">
        <f t="shared" si="12"/>
        <v>47.080000000000005</v>
      </c>
      <c r="AB23" s="96" t="s">
        <v>53</v>
      </c>
      <c r="AC23" s="138"/>
      <c r="AD23" s="146">
        <v>16</v>
      </c>
      <c r="AE23" s="147" t="s">
        <v>19</v>
      </c>
      <c r="AF23" s="141">
        <f t="shared" si="15"/>
        <v>6</v>
      </c>
      <c r="AG23" s="141">
        <f t="shared" si="15"/>
        <v>41.080000000000005</v>
      </c>
      <c r="AH23" s="141">
        <f t="shared" si="16"/>
        <v>0</v>
      </c>
      <c r="AI23" s="108"/>
      <c r="AJ23" s="148">
        <v>16</v>
      </c>
      <c r="AK23" s="149" t="s">
        <v>19</v>
      </c>
      <c r="AL23" s="144">
        <f t="shared" si="8"/>
        <v>6</v>
      </c>
      <c r="AM23" s="145">
        <f t="shared" si="9"/>
        <v>0.12744265080713676</v>
      </c>
      <c r="AN23" s="144">
        <f t="shared" si="13"/>
        <v>41.080000000000005</v>
      </c>
      <c r="AO23" s="145">
        <f t="shared" si="10"/>
        <v>0.87255734919286321</v>
      </c>
      <c r="AP23" s="144">
        <f t="shared" si="14"/>
        <v>0</v>
      </c>
      <c r="AQ23" s="145">
        <f t="shared" si="11"/>
        <v>0</v>
      </c>
    </row>
    <row r="24" spans="1:43" x14ac:dyDescent="0.25">
      <c r="A24" s="156">
        <v>17</v>
      </c>
      <c r="B24" s="157" t="s">
        <v>20</v>
      </c>
      <c r="C24" s="266">
        <v>232</v>
      </c>
      <c r="D24" s="266">
        <v>9.3600000000000012</v>
      </c>
      <c r="E24" s="260">
        <v>0</v>
      </c>
      <c r="F24" s="87">
        <f t="shared" si="0"/>
        <v>241.36</v>
      </c>
      <c r="G24" s="266">
        <v>1266</v>
      </c>
      <c r="H24" s="266">
        <v>0</v>
      </c>
      <c r="I24" s="260">
        <v>0</v>
      </c>
      <c r="J24" s="87">
        <f t="shared" si="1"/>
        <v>1266</v>
      </c>
      <c r="K24" s="266">
        <v>10.8</v>
      </c>
      <c r="L24" s="266">
        <v>0</v>
      </c>
      <c r="M24" s="260">
        <v>0</v>
      </c>
      <c r="N24" s="87">
        <f t="shared" si="2"/>
        <v>10.8</v>
      </c>
      <c r="O24" s="266">
        <v>1686</v>
      </c>
      <c r="P24" s="266">
        <v>18.2</v>
      </c>
      <c r="Q24" s="260">
        <v>0</v>
      </c>
      <c r="R24" s="87">
        <f t="shared" si="3"/>
        <v>1704.2</v>
      </c>
      <c r="S24" s="266">
        <f>(10+60)*4</f>
        <v>280</v>
      </c>
      <c r="T24" s="266">
        <v>5.2</v>
      </c>
      <c r="U24" s="260">
        <v>0</v>
      </c>
      <c r="V24" s="87">
        <f t="shared" si="4"/>
        <v>285.2</v>
      </c>
      <c r="W24" s="266">
        <v>140</v>
      </c>
      <c r="X24" s="266">
        <v>0</v>
      </c>
      <c r="Y24" s="260">
        <v>0</v>
      </c>
      <c r="Z24" s="87">
        <f t="shared" si="5"/>
        <v>140</v>
      </c>
      <c r="AA24" s="94">
        <f t="shared" si="12"/>
        <v>3647.56</v>
      </c>
      <c r="AB24" s="96" t="s">
        <v>53</v>
      </c>
      <c r="AC24" s="138"/>
      <c r="AD24" s="146">
        <v>17</v>
      </c>
      <c r="AE24" s="147" t="s">
        <v>20</v>
      </c>
      <c r="AF24" s="141">
        <f t="shared" si="15"/>
        <v>3614.8</v>
      </c>
      <c r="AG24" s="141">
        <f t="shared" si="15"/>
        <v>32.760000000000005</v>
      </c>
      <c r="AH24" s="141">
        <f t="shared" si="16"/>
        <v>0</v>
      </c>
      <c r="AI24" s="108"/>
      <c r="AJ24" s="148">
        <v>17</v>
      </c>
      <c r="AK24" s="149" t="s">
        <v>20</v>
      </c>
      <c r="AL24" s="144">
        <f t="shared" si="8"/>
        <v>3614.8</v>
      </c>
      <c r="AM24" s="145">
        <f t="shared" si="9"/>
        <v>0.99101865356567131</v>
      </c>
      <c r="AN24" s="144">
        <f t="shared" si="13"/>
        <v>32.760000000000005</v>
      </c>
      <c r="AO24" s="145">
        <f t="shared" si="10"/>
        <v>8.9813464343287026E-3</v>
      </c>
      <c r="AP24" s="144">
        <f t="shared" si="14"/>
        <v>0</v>
      </c>
      <c r="AQ24" s="145">
        <f t="shared" si="11"/>
        <v>0</v>
      </c>
    </row>
    <row r="25" spans="1:43" x14ac:dyDescent="0.25">
      <c r="A25" s="156">
        <v>18</v>
      </c>
      <c r="B25" s="157" t="s">
        <v>21</v>
      </c>
      <c r="C25" s="266">
        <v>240</v>
      </c>
      <c r="D25" s="266">
        <v>10.920000000000002</v>
      </c>
      <c r="E25" s="260">
        <v>0</v>
      </c>
      <c r="F25" s="87">
        <f t="shared" si="0"/>
        <v>250.92000000000002</v>
      </c>
      <c r="G25" s="266">
        <v>858.8</v>
      </c>
      <c r="H25" s="266">
        <v>10.4</v>
      </c>
      <c r="I25" s="260">
        <v>0</v>
      </c>
      <c r="J25" s="87">
        <f t="shared" si="1"/>
        <v>869.19999999999993</v>
      </c>
      <c r="K25" s="266">
        <v>11.2</v>
      </c>
      <c r="L25" s="266">
        <v>16.12</v>
      </c>
      <c r="M25" s="260">
        <v>0</v>
      </c>
      <c r="N25" s="87">
        <f t="shared" si="2"/>
        <v>27.32</v>
      </c>
      <c r="O25" s="266">
        <v>1682.8</v>
      </c>
      <c r="P25" s="266">
        <v>13</v>
      </c>
      <c r="Q25" s="260">
        <v>0</v>
      </c>
      <c r="R25" s="87">
        <f t="shared" si="3"/>
        <v>1695.8</v>
      </c>
      <c r="S25" s="266">
        <f>(10+60)*4</f>
        <v>280</v>
      </c>
      <c r="T25" s="266">
        <v>5.2</v>
      </c>
      <c r="U25" s="260">
        <v>0</v>
      </c>
      <c r="V25" s="87">
        <f t="shared" si="4"/>
        <v>285.2</v>
      </c>
      <c r="W25" s="266">
        <v>140</v>
      </c>
      <c r="X25" s="266">
        <v>5.2</v>
      </c>
      <c r="Y25" s="260">
        <v>0</v>
      </c>
      <c r="Z25" s="87">
        <f t="shared" si="5"/>
        <v>145.19999999999999</v>
      </c>
      <c r="AA25" s="94">
        <f t="shared" si="12"/>
        <v>3273.6399999999994</v>
      </c>
      <c r="AB25" s="96" t="s">
        <v>53</v>
      </c>
      <c r="AC25" s="138"/>
      <c r="AD25" s="146">
        <v>18</v>
      </c>
      <c r="AE25" s="147" t="s">
        <v>21</v>
      </c>
      <c r="AF25" s="141">
        <f t="shared" si="15"/>
        <v>3212.8</v>
      </c>
      <c r="AG25" s="141">
        <f t="shared" si="15"/>
        <v>60.84</v>
      </c>
      <c r="AH25" s="141">
        <f t="shared" si="16"/>
        <v>0</v>
      </c>
      <c r="AI25" s="108"/>
      <c r="AJ25" s="148">
        <v>18</v>
      </c>
      <c r="AK25" s="149" t="s">
        <v>21</v>
      </c>
      <c r="AL25" s="144">
        <f t="shared" si="8"/>
        <v>3212.8</v>
      </c>
      <c r="AM25" s="145">
        <f t="shared" si="9"/>
        <v>0.98141518309893594</v>
      </c>
      <c r="AN25" s="144">
        <f t="shared" si="13"/>
        <v>60.84</v>
      </c>
      <c r="AO25" s="145">
        <f t="shared" si="10"/>
        <v>1.8584816901064262E-2</v>
      </c>
      <c r="AP25" s="144">
        <f t="shared" si="14"/>
        <v>0</v>
      </c>
      <c r="AQ25" s="145">
        <f t="shared" si="11"/>
        <v>0</v>
      </c>
    </row>
    <row r="26" spans="1:43" x14ac:dyDescent="0.25">
      <c r="A26" s="156">
        <v>19</v>
      </c>
      <c r="B26" s="157" t="s">
        <v>22</v>
      </c>
      <c r="C26" s="266">
        <v>232</v>
      </c>
      <c r="D26" s="266">
        <v>5.2</v>
      </c>
      <c r="E26" s="260">
        <v>0</v>
      </c>
      <c r="F26" s="87">
        <f t="shared" si="0"/>
        <v>237.2</v>
      </c>
      <c r="G26" s="266">
        <v>1060.4000000000001</v>
      </c>
      <c r="H26" s="266">
        <v>14.040000000000001</v>
      </c>
      <c r="I26" s="260">
        <v>0</v>
      </c>
      <c r="J26" s="87">
        <f t="shared" si="1"/>
        <v>1074.44</v>
      </c>
      <c r="K26" s="266">
        <v>10</v>
      </c>
      <c r="L26" s="266">
        <v>20.8</v>
      </c>
      <c r="M26" s="260">
        <v>0</v>
      </c>
      <c r="N26" s="87">
        <f t="shared" si="2"/>
        <v>30.8</v>
      </c>
      <c r="O26" s="266">
        <v>1487.2</v>
      </c>
      <c r="P26" s="266">
        <f>(((1.7+2)*1.3)*2)*2</f>
        <v>19.240000000000002</v>
      </c>
      <c r="Q26" s="260">
        <v>0</v>
      </c>
      <c r="R26" s="87">
        <f t="shared" si="3"/>
        <v>1506.44</v>
      </c>
      <c r="S26" s="266">
        <f>(10+50)*4</f>
        <v>240</v>
      </c>
      <c r="T26" s="266">
        <v>5.2</v>
      </c>
      <c r="U26" s="260">
        <v>0</v>
      </c>
      <c r="V26" s="87">
        <f t="shared" si="4"/>
        <v>245.2</v>
      </c>
      <c r="W26" s="266">
        <v>180</v>
      </c>
      <c r="X26" s="266">
        <v>0</v>
      </c>
      <c r="Y26" s="260">
        <v>0</v>
      </c>
      <c r="Z26" s="87">
        <f t="shared" si="5"/>
        <v>180</v>
      </c>
      <c r="AA26" s="94">
        <f t="shared" si="12"/>
        <v>3274.08</v>
      </c>
      <c r="AB26" s="96" t="s">
        <v>53</v>
      </c>
      <c r="AC26" s="138"/>
      <c r="AD26" s="146">
        <v>19</v>
      </c>
      <c r="AE26" s="147" t="s">
        <v>22</v>
      </c>
      <c r="AF26" s="141">
        <f t="shared" si="15"/>
        <v>3209.6000000000004</v>
      </c>
      <c r="AG26" s="141">
        <f t="shared" si="15"/>
        <v>64.48</v>
      </c>
      <c r="AH26" s="141">
        <f t="shared" si="16"/>
        <v>0</v>
      </c>
      <c r="AI26" s="108"/>
      <c r="AJ26" s="148">
        <v>19</v>
      </c>
      <c r="AK26" s="149" t="s">
        <v>22</v>
      </c>
      <c r="AL26" s="144">
        <f t="shared" si="8"/>
        <v>3209.6000000000004</v>
      </c>
      <c r="AM26" s="145">
        <f t="shared" si="9"/>
        <v>0.98030591799833855</v>
      </c>
      <c r="AN26" s="144">
        <f t="shared" si="13"/>
        <v>64.48</v>
      </c>
      <c r="AO26" s="145">
        <f t="shared" si="10"/>
        <v>1.9694082001661537E-2</v>
      </c>
      <c r="AP26" s="144">
        <f t="shared" si="14"/>
        <v>0</v>
      </c>
      <c r="AQ26" s="145">
        <f t="shared" si="11"/>
        <v>0</v>
      </c>
    </row>
    <row r="27" spans="1:43" x14ac:dyDescent="0.25">
      <c r="A27" s="156">
        <v>20</v>
      </c>
      <c r="B27" s="157" t="s">
        <v>23</v>
      </c>
      <c r="C27" s="266">
        <v>460</v>
      </c>
      <c r="D27" s="266">
        <v>19.240000000000002</v>
      </c>
      <c r="E27" s="260">
        <v>0</v>
      </c>
      <c r="F27" s="87">
        <f t="shared" si="0"/>
        <v>479.24</v>
      </c>
      <c r="G27" s="266">
        <v>854.8</v>
      </c>
      <c r="H27" s="266">
        <f>(((6+1)*1.3)*2)*2</f>
        <v>36.4</v>
      </c>
      <c r="I27" s="260">
        <v>0</v>
      </c>
      <c r="J27" s="87">
        <f t="shared" si="1"/>
        <v>891.19999999999993</v>
      </c>
      <c r="K27" s="266">
        <v>8.4</v>
      </c>
      <c r="L27" s="266">
        <v>0</v>
      </c>
      <c r="M27" s="260">
        <v>0</v>
      </c>
      <c r="N27" s="87">
        <f t="shared" si="2"/>
        <v>8.4</v>
      </c>
      <c r="O27" s="266">
        <v>1284.4000000000001</v>
      </c>
      <c r="P27" s="266">
        <v>14.040000000000001</v>
      </c>
      <c r="Q27" s="260">
        <v>0</v>
      </c>
      <c r="R27" s="87">
        <f t="shared" si="3"/>
        <v>1298.44</v>
      </c>
      <c r="S27" s="266">
        <v>320</v>
      </c>
      <c r="T27" s="266">
        <v>5.2</v>
      </c>
      <c r="U27" s="260">
        <v>0</v>
      </c>
      <c r="V27" s="87">
        <f t="shared" si="4"/>
        <v>325.2</v>
      </c>
      <c r="W27" s="266">
        <v>120</v>
      </c>
      <c r="X27" s="266">
        <v>0</v>
      </c>
      <c r="Y27" s="260">
        <v>0</v>
      </c>
      <c r="Z27" s="87">
        <f t="shared" si="5"/>
        <v>120</v>
      </c>
      <c r="AA27" s="94">
        <f t="shared" si="12"/>
        <v>3122.48</v>
      </c>
      <c r="AB27" s="96" t="s">
        <v>53</v>
      </c>
      <c r="AC27" s="138"/>
      <c r="AD27" s="146">
        <v>20</v>
      </c>
      <c r="AE27" s="147" t="s">
        <v>23</v>
      </c>
      <c r="AF27" s="141">
        <f t="shared" si="15"/>
        <v>3047.6000000000004</v>
      </c>
      <c r="AG27" s="141">
        <f t="shared" si="15"/>
        <v>74.88000000000001</v>
      </c>
      <c r="AH27" s="141">
        <f t="shared" si="16"/>
        <v>0</v>
      </c>
      <c r="AI27" s="108"/>
      <c r="AJ27" s="148">
        <v>20</v>
      </c>
      <c r="AK27" s="149" t="s">
        <v>23</v>
      </c>
      <c r="AL27" s="144">
        <f t="shared" si="8"/>
        <v>3047.6000000000004</v>
      </c>
      <c r="AM27" s="145">
        <f t="shared" si="9"/>
        <v>0.97601906177141262</v>
      </c>
      <c r="AN27" s="144">
        <f t="shared" si="13"/>
        <v>74.88000000000001</v>
      </c>
      <c r="AO27" s="145">
        <f t="shared" si="10"/>
        <v>2.3980938228587535E-2</v>
      </c>
      <c r="AP27" s="144">
        <f t="shared" si="14"/>
        <v>0</v>
      </c>
      <c r="AQ27" s="145">
        <f t="shared" si="11"/>
        <v>0</v>
      </c>
    </row>
    <row r="28" spans="1:43" x14ac:dyDescent="0.25">
      <c r="A28" s="156">
        <v>21</v>
      </c>
      <c r="B28" s="157" t="s">
        <v>24</v>
      </c>
      <c r="C28" s="266">
        <v>432</v>
      </c>
      <c r="D28" s="266">
        <v>18.2</v>
      </c>
      <c r="E28" s="260">
        <v>0</v>
      </c>
      <c r="F28" s="87">
        <f t="shared" si="0"/>
        <v>450.2</v>
      </c>
      <c r="G28" s="266">
        <v>1060.4000000000001</v>
      </c>
      <c r="H28" s="266">
        <v>0</v>
      </c>
      <c r="I28" s="260">
        <v>0</v>
      </c>
      <c r="J28" s="87">
        <f t="shared" si="1"/>
        <v>1060.4000000000001</v>
      </c>
      <c r="K28" s="266">
        <v>11.6</v>
      </c>
      <c r="L28" s="266">
        <v>13</v>
      </c>
      <c r="M28" s="260">
        <v>0</v>
      </c>
      <c r="N28" s="87">
        <f t="shared" si="2"/>
        <v>24.6</v>
      </c>
      <c r="O28" s="266">
        <v>1284.4000000000001</v>
      </c>
      <c r="P28" s="266">
        <v>5.2</v>
      </c>
      <c r="Q28" s="260">
        <v>0</v>
      </c>
      <c r="R28" s="87">
        <f t="shared" si="3"/>
        <v>1289.6000000000001</v>
      </c>
      <c r="S28" s="266">
        <f>(10+60)*4</f>
        <v>280</v>
      </c>
      <c r="T28" s="266">
        <v>5.2</v>
      </c>
      <c r="U28" s="260">
        <v>0</v>
      </c>
      <c r="V28" s="87">
        <f t="shared" si="4"/>
        <v>285.2</v>
      </c>
      <c r="W28" s="266">
        <v>120</v>
      </c>
      <c r="X28" s="266">
        <v>0</v>
      </c>
      <c r="Y28" s="260">
        <v>0</v>
      </c>
      <c r="Z28" s="87">
        <f t="shared" si="5"/>
        <v>120</v>
      </c>
      <c r="AA28" s="94">
        <f t="shared" si="12"/>
        <v>3230</v>
      </c>
      <c r="AB28" s="96" t="s">
        <v>53</v>
      </c>
      <c r="AC28" s="138"/>
      <c r="AD28" s="146">
        <v>21</v>
      </c>
      <c r="AE28" s="147" t="s">
        <v>24</v>
      </c>
      <c r="AF28" s="141">
        <f t="shared" si="15"/>
        <v>3188.4</v>
      </c>
      <c r="AG28" s="141">
        <f t="shared" si="15"/>
        <v>41.6</v>
      </c>
      <c r="AH28" s="141">
        <f t="shared" si="16"/>
        <v>0</v>
      </c>
      <c r="AI28" s="108"/>
      <c r="AJ28" s="148">
        <v>21</v>
      </c>
      <c r="AK28" s="149" t="s">
        <v>24</v>
      </c>
      <c r="AL28" s="144">
        <f t="shared" si="8"/>
        <v>3188.4</v>
      </c>
      <c r="AM28" s="145">
        <f t="shared" si="9"/>
        <v>0.98712074303405573</v>
      </c>
      <c r="AN28" s="144">
        <f t="shared" si="13"/>
        <v>41.6</v>
      </c>
      <c r="AO28" s="145">
        <f t="shared" si="10"/>
        <v>1.2879256965944273E-2</v>
      </c>
      <c r="AP28" s="144">
        <f t="shared" si="14"/>
        <v>0</v>
      </c>
      <c r="AQ28" s="145">
        <f t="shared" si="11"/>
        <v>0</v>
      </c>
    </row>
    <row r="29" spans="1:43" x14ac:dyDescent="0.25">
      <c r="A29" s="156">
        <v>22</v>
      </c>
      <c r="B29" s="157" t="s">
        <v>25</v>
      </c>
      <c r="C29" s="266">
        <v>32</v>
      </c>
      <c r="D29" s="266">
        <v>5.2</v>
      </c>
      <c r="E29" s="260">
        <v>0</v>
      </c>
      <c r="F29" s="87">
        <f t="shared" si="0"/>
        <v>37.200000000000003</v>
      </c>
      <c r="G29" s="266">
        <v>57.6</v>
      </c>
      <c r="H29" s="266">
        <v>0</v>
      </c>
      <c r="I29" s="260">
        <v>0</v>
      </c>
      <c r="J29" s="87">
        <f t="shared" si="1"/>
        <v>57.6</v>
      </c>
      <c r="K29" s="266">
        <v>12.4</v>
      </c>
      <c r="L29" s="266">
        <v>12.48</v>
      </c>
      <c r="M29" s="260">
        <v>0</v>
      </c>
      <c r="N29" s="87">
        <f t="shared" si="2"/>
        <v>24.880000000000003</v>
      </c>
      <c r="O29" s="266">
        <v>78.8</v>
      </c>
      <c r="P29" s="266">
        <f>(((2.5+1)*1.3)*2)*2</f>
        <v>18.2</v>
      </c>
      <c r="Q29" s="260">
        <v>0</v>
      </c>
      <c r="R29" s="87">
        <f t="shared" si="3"/>
        <v>97</v>
      </c>
      <c r="S29" s="266">
        <v>40</v>
      </c>
      <c r="T29" s="266">
        <v>10.4</v>
      </c>
      <c r="U29" s="260">
        <v>0</v>
      </c>
      <c r="V29" s="87">
        <f t="shared" si="4"/>
        <v>50.4</v>
      </c>
      <c r="W29" s="266">
        <v>240</v>
      </c>
      <c r="X29" s="266">
        <v>10.4</v>
      </c>
      <c r="Y29" s="260">
        <v>0</v>
      </c>
      <c r="Z29" s="87">
        <f t="shared" si="5"/>
        <v>250.4</v>
      </c>
      <c r="AA29" s="94">
        <f t="shared" si="12"/>
        <v>517.48</v>
      </c>
      <c r="AB29" s="96" t="s">
        <v>53</v>
      </c>
      <c r="AC29" s="138"/>
      <c r="AD29" s="146">
        <v>22</v>
      </c>
      <c r="AE29" s="147" t="s">
        <v>25</v>
      </c>
      <c r="AF29" s="141">
        <f t="shared" si="15"/>
        <v>460.8</v>
      </c>
      <c r="AG29" s="141">
        <f t="shared" si="15"/>
        <v>56.679999999999993</v>
      </c>
      <c r="AH29" s="141">
        <f t="shared" si="16"/>
        <v>0</v>
      </c>
      <c r="AI29" s="108"/>
      <c r="AJ29" s="148">
        <v>22</v>
      </c>
      <c r="AK29" s="149" t="s">
        <v>25</v>
      </c>
      <c r="AL29" s="144">
        <f t="shared" si="8"/>
        <v>460.8</v>
      </c>
      <c r="AM29" s="145">
        <f t="shared" si="9"/>
        <v>0.89046919687717396</v>
      </c>
      <c r="AN29" s="144">
        <f t="shared" si="13"/>
        <v>56.679999999999993</v>
      </c>
      <c r="AO29" s="145">
        <f t="shared" si="10"/>
        <v>0.10953080312282598</v>
      </c>
      <c r="AP29" s="144">
        <f t="shared" si="14"/>
        <v>0</v>
      </c>
      <c r="AQ29" s="145">
        <f t="shared" si="11"/>
        <v>0</v>
      </c>
    </row>
    <row r="30" spans="1:43" x14ac:dyDescent="0.25">
      <c r="A30" s="156">
        <v>23</v>
      </c>
      <c r="B30" s="157" t="s">
        <v>26</v>
      </c>
      <c r="C30" s="266">
        <v>0</v>
      </c>
      <c r="D30" s="266">
        <v>0</v>
      </c>
      <c r="E30" s="260">
        <v>0</v>
      </c>
      <c r="F30" s="87">
        <f t="shared" si="0"/>
        <v>0</v>
      </c>
      <c r="G30" s="266">
        <v>0</v>
      </c>
      <c r="H30" s="266">
        <f>(((1.7+2)*1.3)*2)*2</f>
        <v>19.240000000000002</v>
      </c>
      <c r="I30" s="260">
        <v>0</v>
      </c>
      <c r="J30" s="87">
        <f t="shared" si="1"/>
        <v>19.240000000000002</v>
      </c>
      <c r="K30" s="266">
        <v>13.2</v>
      </c>
      <c r="L30" s="266">
        <v>8.84</v>
      </c>
      <c r="M30" s="260">
        <v>0</v>
      </c>
      <c r="N30" s="87">
        <f t="shared" si="2"/>
        <v>22.04</v>
      </c>
      <c r="O30" s="266">
        <v>23.6</v>
      </c>
      <c r="P30" s="266">
        <v>9.3600000000000012</v>
      </c>
      <c r="Q30" s="260">
        <v>0</v>
      </c>
      <c r="R30" s="87">
        <f t="shared" si="3"/>
        <v>32.96</v>
      </c>
      <c r="S30" s="266">
        <v>0</v>
      </c>
      <c r="T30" s="266">
        <v>0</v>
      </c>
      <c r="U30" s="260">
        <v>0</v>
      </c>
      <c r="V30" s="87">
        <f t="shared" si="4"/>
        <v>0</v>
      </c>
      <c r="W30" s="266">
        <v>0</v>
      </c>
      <c r="X30" s="266">
        <v>0</v>
      </c>
      <c r="Y30" s="260">
        <v>0</v>
      </c>
      <c r="Z30" s="87">
        <f t="shared" si="5"/>
        <v>0</v>
      </c>
      <c r="AA30" s="94">
        <f t="shared" si="12"/>
        <v>74.240000000000009</v>
      </c>
      <c r="AB30" s="96" t="s">
        <v>53</v>
      </c>
      <c r="AC30" s="138"/>
      <c r="AD30" s="146">
        <v>23</v>
      </c>
      <c r="AE30" s="147" t="s">
        <v>26</v>
      </c>
      <c r="AF30" s="141">
        <f t="shared" si="15"/>
        <v>36.799999999999997</v>
      </c>
      <c r="AG30" s="141">
        <f t="shared" si="15"/>
        <v>37.440000000000005</v>
      </c>
      <c r="AH30" s="141">
        <f t="shared" si="16"/>
        <v>0</v>
      </c>
      <c r="AI30" s="108"/>
      <c r="AJ30" s="148">
        <v>23</v>
      </c>
      <c r="AK30" s="149" t="s">
        <v>26</v>
      </c>
      <c r="AL30" s="144">
        <f t="shared" si="8"/>
        <v>36.799999999999997</v>
      </c>
      <c r="AM30" s="145">
        <f t="shared" si="9"/>
        <v>0.4956896551724137</v>
      </c>
      <c r="AN30" s="144">
        <f t="shared" si="13"/>
        <v>37.440000000000005</v>
      </c>
      <c r="AO30" s="145">
        <f t="shared" si="10"/>
        <v>0.50431034482758619</v>
      </c>
      <c r="AP30" s="144">
        <f t="shared" si="14"/>
        <v>0</v>
      </c>
      <c r="AQ30" s="145">
        <f t="shared" si="11"/>
        <v>0</v>
      </c>
    </row>
    <row r="31" spans="1:43" x14ac:dyDescent="0.25">
      <c r="A31" s="156">
        <v>24</v>
      </c>
      <c r="B31" s="157" t="s">
        <v>27</v>
      </c>
      <c r="C31" s="266">
        <v>232</v>
      </c>
      <c r="D31" s="266">
        <f>(((1.5+1)*1.3)*2)*2</f>
        <v>13</v>
      </c>
      <c r="E31" s="260">
        <v>0</v>
      </c>
      <c r="F31" s="87">
        <f t="shared" si="0"/>
        <v>245</v>
      </c>
      <c r="G31" s="266">
        <v>1040</v>
      </c>
      <c r="H31" s="266">
        <v>23.400000000000002</v>
      </c>
      <c r="I31" s="260">
        <v>0</v>
      </c>
      <c r="J31" s="87">
        <f t="shared" si="1"/>
        <v>1063.4000000000001</v>
      </c>
      <c r="K31" s="266">
        <v>11.2</v>
      </c>
      <c r="L31" s="266">
        <v>9.3600000000000012</v>
      </c>
      <c r="M31" s="260">
        <v>0</v>
      </c>
      <c r="N31" s="87">
        <f t="shared" si="2"/>
        <v>20.560000000000002</v>
      </c>
      <c r="O31" s="266">
        <v>1479.6</v>
      </c>
      <c r="P31" s="266">
        <v>15.600000000000001</v>
      </c>
      <c r="Q31" s="260">
        <v>0</v>
      </c>
      <c r="R31" s="87">
        <f t="shared" si="3"/>
        <v>1495.1999999999998</v>
      </c>
      <c r="S31" s="266">
        <f>(10+110)*4</f>
        <v>480</v>
      </c>
      <c r="T31" s="266">
        <v>10.4</v>
      </c>
      <c r="U31" s="260">
        <v>0</v>
      </c>
      <c r="V31" s="87">
        <f t="shared" si="4"/>
        <v>490.4</v>
      </c>
      <c r="W31" s="266">
        <v>120</v>
      </c>
      <c r="X31" s="266">
        <v>0</v>
      </c>
      <c r="Y31" s="260">
        <v>0</v>
      </c>
      <c r="Z31" s="87">
        <f t="shared" si="5"/>
        <v>120</v>
      </c>
      <c r="AA31" s="94">
        <f t="shared" si="12"/>
        <v>3434.56</v>
      </c>
      <c r="AB31" s="96" t="s">
        <v>53</v>
      </c>
      <c r="AC31" s="138"/>
      <c r="AD31" s="146">
        <v>24</v>
      </c>
      <c r="AE31" s="147" t="s">
        <v>27</v>
      </c>
      <c r="AF31" s="141">
        <f t="shared" si="15"/>
        <v>3362.8</v>
      </c>
      <c r="AG31" s="141">
        <f t="shared" si="15"/>
        <v>71.760000000000005</v>
      </c>
      <c r="AH31" s="141">
        <f t="shared" si="16"/>
        <v>0</v>
      </c>
      <c r="AI31" s="108"/>
      <c r="AJ31" s="148">
        <v>24</v>
      </c>
      <c r="AK31" s="149" t="s">
        <v>27</v>
      </c>
      <c r="AL31" s="144">
        <f t="shared" si="8"/>
        <v>3362.8</v>
      </c>
      <c r="AM31" s="145">
        <f t="shared" si="9"/>
        <v>0.97910649399049665</v>
      </c>
      <c r="AN31" s="144">
        <f t="shared" si="13"/>
        <v>71.760000000000005</v>
      </c>
      <c r="AO31" s="145">
        <f t="shared" si="10"/>
        <v>2.0893506009503404E-2</v>
      </c>
      <c r="AP31" s="144">
        <f t="shared" si="14"/>
        <v>0</v>
      </c>
      <c r="AQ31" s="145">
        <f t="shared" si="11"/>
        <v>0</v>
      </c>
    </row>
    <row r="32" spans="1:43" x14ac:dyDescent="0.25">
      <c r="A32" s="156">
        <v>25</v>
      </c>
      <c r="B32" s="157" t="s">
        <v>28</v>
      </c>
      <c r="C32" s="266">
        <v>232</v>
      </c>
      <c r="D32" s="266">
        <v>5.2</v>
      </c>
      <c r="E32" s="260">
        <v>0</v>
      </c>
      <c r="F32" s="87">
        <f t="shared" si="0"/>
        <v>237.2</v>
      </c>
      <c r="G32" s="266">
        <v>1268.4000000000001</v>
      </c>
      <c r="H32" s="266">
        <v>5.2</v>
      </c>
      <c r="I32" s="260">
        <v>0</v>
      </c>
      <c r="J32" s="87">
        <f t="shared" si="1"/>
        <v>1273.6000000000001</v>
      </c>
      <c r="K32" s="266">
        <v>14.8</v>
      </c>
      <c r="L32" s="266">
        <v>9.3600000000000012</v>
      </c>
      <c r="M32" s="260">
        <v>0</v>
      </c>
      <c r="N32" s="87">
        <f t="shared" si="2"/>
        <v>24.160000000000004</v>
      </c>
      <c r="O32" s="266">
        <v>1287.5999999999999</v>
      </c>
      <c r="P32" s="266">
        <f>(((1.1+1)*1.3)*2)*2</f>
        <v>10.920000000000002</v>
      </c>
      <c r="Q32" s="260">
        <v>0</v>
      </c>
      <c r="R32" s="87">
        <f t="shared" si="3"/>
        <v>1298.52</v>
      </c>
      <c r="S32" s="266">
        <f>(10+50)*4</f>
        <v>240</v>
      </c>
      <c r="T32" s="266">
        <v>0</v>
      </c>
      <c r="U32" s="260">
        <v>0</v>
      </c>
      <c r="V32" s="87">
        <f t="shared" si="4"/>
        <v>240</v>
      </c>
      <c r="W32" s="266">
        <v>120</v>
      </c>
      <c r="X32" s="266">
        <v>5.2</v>
      </c>
      <c r="Y32" s="260">
        <v>0</v>
      </c>
      <c r="Z32" s="87">
        <f t="shared" si="5"/>
        <v>125.2</v>
      </c>
      <c r="AA32" s="94">
        <f t="shared" si="12"/>
        <v>3198.6800000000003</v>
      </c>
      <c r="AB32" s="96" t="s">
        <v>53</v>
      </c>
      <c r="AC32" s="138"/>
      <c r="AD32" s="146">
        <v>25</v>
      </c>
      <c r="AE32" s="147" t="s">
        <v>28</v>
      </c>
      <c r="AF32" s="141">
        <f t="shared" si="15"/>
        <v>3162.8</v>
      </c>
      <c r="AG32" s="141">
        <f t="shared" si="15"/>
        <v>35.880000000000003</v>
      </c>
      <c r="AH32" s="141">
        <f t="shared" si="16"/>
        <v>0</v>
      </c>
      <c r="AI32" s="108"/>
      <c r="AJ32" s="148">
        <v>25</v>
      </c>
      <c r="AK32" s="149" t="s">
        <v>28</v>
      </c>
      <c r="AL32" s="144">
        <f t="shared" si="8"/>
        <v>3162.8</v>
      </c>
      <c r="AM32" s="145">
        <f t="shared" si="9"/>
        <v>0.98878287293508571</v>
      </c>
      <c r="AN32" s="144">
        <f t="shared" si="13"/>
        <v>35.880000000000003</v>
      </c>
      <c r="AO32" s="145">
        <f t="shared" si="10"/>
        <v>1.1217127064914277E-2</v>
      </c>
      <c r="AP32" s="144">
        <f t="shared" si="14"/>
        <v>0</v>
      </c>
      <c r="AQ32" s="145">
        <f t="shared" si="11"/>
        <v>0</v>
      </c>
    </row>
    <row r="33" spans="1:43" x14ac:dyDescent="0.25">
      <c r="A33" s="156">
        <v>26</v>
      </c>
      <c r="B33" s="157" t="s">
        <v>29</v>
      </c>
      <c r="C33" s="266">
        <v>432</v>
      </c>
      <c r="D33" s="266">
        <v>17.68</v>
      </c>
      <c r="E33" s="260">
        <v>0</v>
      </c>
      <c r="F33" s="87">
        <f t="shared" si="0"/>
        <v>449.68</v>
      </c>
      <c r="G33" s="266">
        <v>860.4</v>
      </c>
      <c r="H33" s="266">
        <v>7.8000000000000007</v>
      </c>
      <c r="I33" s="260">
        <v>0</v>
      </c>
      <c r="J33" s="87">
        <f t="shared" si="1"/>
        <v>868.19999999999993</v>
      </c>
      <c r="K33" s="266">
        <v>11.6</v>
      </c>
      <c r="L33" s="266">
        <v>0</v>
      </c>
      <c r="M33" s="260">
        <v>0</v>
      </c>
      <c r="N33" s="87">
        <f t="shared" si="2"/>
        <v>11.6</v>
      </c>
      <c r="O33" s="266">
        <v>1684.4</v>
      </c>
      <c r="P33" s="266">
        <v>6.24</v>
      </c>
      <c r="Q33" s="260">
        <v>0</v>
      </c>
      <c r="R33" s="87">
        <f t="shared" si="3"/>
        <v>1690.64</v>
      </c>
      <c r="S33" s="266">
        <f>(10+110)*4</f>
        <v>480</v>
      </c>
      <c r="T33" s="266">
        <v>20.8</v>
      </c>
      <c r="U33" s="260">
        <v>0</v>
      </c>
      <c r="V33" s="87">
        <f t="shared" si="4"/>
        <v>500.8</v>
      </c>
      <c r="W33" s="266">
        <v>200</v>
      </c>
      <c r="X33" s="266">
        <v>0</v>
      </c>
      <c r="Y33" s="260">
        <v>0</v>
      </c>
      <c r="Z33" s="87">
        <f t="shared" si="5"/>
        <v>200</v>
      </c>
      <c r="AA33" s="94">
        <f t="shared" si="12"/>
        <v>3720.92</v>
      </c>
      <c r="AB33" s="96" t="s">
        <v>53</v>
      </c>
      <c r="AC33" s="138"/>
      <c r="AD33" s="146">
        <v>26</v>
      </c>
      <c r="AE33" s="147" t="s">
        <v>29</v>
      </c>
      <c r="AF33" s="141">
        <f t="shared" si="15"/>
        <v>3668.4</v>
      </c>
      <c r="AG33" s="141">
        <f t="shared" si="15"/>
        <v>52.519999999999996</v>
      </c>
      <c r="AH33" s="141">
        <f t="shared" si="16"/>
        <v>0</v>
      </c>
      <c r="AI33" s="108"/>
      <c r="AJ33" s="148">
        <v>26</v>
      </c>
      <c r="AK33" s="149" t="s">
        <v>29</v>
      </c>
      <c r="AL33" s="144">
        <f t="shared" si="8"/>
        <v>3668.4</v>
      </c>
      <c r="AM33" s="145">
        <f t="shared" si="9"/>
        <v>0.98588521118433081</v>
      </c>
      <c r="AN33" s="144">
        <f t="shared" si="13"/>
        <v>52.519999999999996</v>
      </c>
      <c r="AO33" s="145">
        <f t="shared" si="10"/>
        <v>1.4114788815669242E-2</v>
      </c>
      <c r="AP33" s="144">
        <f t="shared" si="14"/>
        <v>0</v>
      </c>
      <c r="AQ33" s="145">
        <f t="shared" si="11"/>
        <v>0</v>
      </c>
    </row>
    <row r="34" spans="1:43" x14ac:dyDescent="0.25">
      <c r="A34" s="156">
        <v>27</v>
      </c>
      <c r="B34" s="157" t="s">
        <v>30</v>
      </c>
      <c r="C34" s="266">
        <v>432</v>
      </c>
      <c r="D34" s="266">
        <v>0</v>
      </c>
      <c r="E34" s="260">
        <v>0</v>
      </c>
      <c r="F34" s="87">
        <f t="shared" si="0"/>
        <v>432</v>
      </c>
      <c r="G34" s="266">
        <v>859.2</v>
      </c>
      <c r="H34" s="266">
        <v>5.2</v>
      </c>
      <c r="I34" s="260">
        <v>0</v>
      </c>
      <c r="J34" s="87">
        <f t="shared" si="1"/>
        <v>864.40000000000009</v>
      </c>
      <c r="K34" s="266">
        <v>14.4</v>
      </c>
      <c r="L34" s="266">
        <v>27.040000000000003</v>
      </c>
      <c r="M34" s="260">
        <v>0</v>
      </c>
      <c r="N34" s="87">
        <f t="shared" si="2"/>
        <v>41.440000000000005</v>
      </c>
      <c r="O34" s="266">
        <v>1286.8</v>
      </c>
      <c r="P34" s="266">
        <f>(((2.5+1)*1.3)*2)*2</f>
        <v>18.2</v>
      </c>
      <c r="Q34" s="260">
        <v>0</v>
      </c>
      <c r="R34" s="87">
        <f t="shared" si="3"/>
        <v>1305</v>
      </c>
      <c r="S34" s="266">
        <f>(10+50)*4</f>
        <v>240</v>
      </c>
      <c r="T34" s="266">
        <v>0</v>
      </c>
      <c r="U34" s="260">
        <v>0</v>
      </c>
      <c r="V34" s="87">
        <f t="shared" si="4"/>
        <v>240</v>
      </c>
      <c r="W34" s="266">
        <v>140</v>
      </c>
      <c r="X34" s="266">
        <v>0</v>
      </c>
      <c r="Y34" s="260">
        <v>0</v>
      </c>
      <c r="Z34" s="87">
        <f t="shared" si="5"/>
        <v>140</v>
      </c>
      <c r="AA34" s="94">
        <f t="shared" si="12"/>
        <v>3022.84</v>
      </c>
      <c r="AB34" s="96" t="s">
        <v>53</v>
      </c>
      <c r="AC34" s="138"/>
      <c r="AD34" s="146">
        <v>27</v>
      </c>
      <c r="AE34" s="147" t="s">
        <v>30</v>
      </c>
      <c r="AF34" s="141">
        <f t="shared" si="15"/>
        <v>2972.4</v>
      </c>
      <c r="AG34" s="141">
        <f t="shared" si="15"/>
        <v>50.44</v>
      </c>
      <c r="AH34" s="141">
        <f t="shared" si="16"/>
        <v>0</v>
      </c>
      <c r="AI34" s="108"/>
      <c r="AJ34" s="148">
        <v>27</v>
      </c>
      <c r="AK34" s="149" t="s">
        <v>30</v>
      </c>
      <c r="AL34" s="144">
        <f t="shared" si="8"/>
        <v>2972.4</v>
      </c>
      <c r="AM34" s="145">
        <f t="shared" si="9"/>
        <v>0.98331370499265591</v>
      </c>
      <c r="AN34" s="144">
        <f t="shared" si="13"/>
        <v>50.44</v>
      </c>
      <c r="AO34" s="145">
        <f t="shared" si="10"/>
        <v>1.6686295007344084E-2</v>
      </c>
      <c r="AP34" s="144">
        <f t="shared" si="14"/>
        <v>0</v>
      </c>
      <c r="AQ34" s="145">
        <f t="shared" si="11"/>
        <v>0</v>
      </c>
    </row>
    <row r="35" spans="1:43" x14ac:dyDescent="0.25">
      <c r="A35" s="156">
        <v>28</v>
      </c>
      <c r="B35" s="157" t="s">
        <v>31</v>
      </c>
      <c r="C35" s="266">
        <v>432</v>
      </c>
      <c r="D35" s="266">
        <f>(((2.8+1)*1.3)*2)*2</f>
        <v>19.759999999999998</v>
      </c>
      <c r="E35" s="260">
        <v>0</v>
      </c>
      <c r="F35" s="87">
        <f t="shared" si="0"/>
        <v>451.76</v>
      </c>
      <c r="G35" s="266">
        <v>1462.8</v>
      </c>
      <c r="H35" s="266">
        <v>9.3600000000000012</v>
      </c>
      <c r="I35" s="260">
        <v>0</v>
      </c>
      <c r="J35" s="87">
        <f t="shared" si="1"/>
        <v>1472.1599999999999</v>
      </c>
      <c r="K35" s="266">
        <v>12.8</v>
      </c>
      <c r="L35" s="266">
        <v>18.2</v>
      </c>
      <c r="M35" s="260">
        <v>0</v>
      </c>
      <c r="N35" s="87">
        <f t="shared" si="2"/>
        <v>31</v>
      </c>
      <c r="O35" s="266">
        <v>1283.2</v>
      </c>
      <c r="P35" s="266">
        <v>7.8000000000000007</v>
      </c>
      <c r="Q35" s="260">
        <v>0</v>
      </c>
      <c r="R35" s="87">
        <f t="shared" si="3"/>
        <v>1291</v>
      </c>
      <c r="S35" s="266">
        <f>(10+50)*4</f>
        <v>240</v>
      </c>
      <c r="T35" s="266">
        <v>5.2</v>
      </c>
      <c r="U35" s="260">
        <v>0</v>
      </c>
      <c r="V35" s="87">
        <f t="shared" si="4"/>
        <v>245.2</v>
      </c>
      <c r="W35" s="266">
        <v>140</v>
      </c>
      <c r="X35" s="266">
        <v>5.2</v>
      </c>
      <c r="Y35" s="260">
        <v>0</v>
      </c>
      <c r="Z35" s="87">
        <f t="shared" si="5"/>
        <v>145.19999999999999</v>
      </c>
      <c r="AA35" s="94">
        <f t="shared" si="12"/>
        <v>3636.3199999999997</v>
      </c>
      <c r="AB35" s="96" t="s">
        <v>53</v>
      </c>
      <c r="AC35" s="138"/>
      <c r="AD35" s="146">
        <v>28</v>
      </c>
      <c r="AE35" s="147" t="s">
        <v>31</v>
      </c>
      <c r="AF35" s="141">
        <f t="shared" si="15"/>
        <v>3570.8</v>
      </c>
      <c r="AG35" s="141">
        <f t="shared" si="15"/>
        <v>65.52</v>
      </c>
      <c r="AH35" s="141">
        <f t="shared" si="16"/>
        <v>0</v>
      </c>
      <c r="AI35" s="108"/>
      <c r="AJ35" s="148">
        <v>28</v>
      </c>
      <c r="AK35" s="149" t="s">
        <v>31</v>
      </c>
      <c r="AL35" s="144">
        <f t="shared" si="8"/>
        <v>3570.8</v>
      </c>
      <c r="AM35" s="145">
        <f t="shared" si="9"/>
        <v>0.98198178378140555</v>
      </c>
      <c r="AN35" s="144">
        <f t="shared" si="13"/>
        <v>65.52</v>
      </c>
      <c r="AO35" s="145">
        <f t="shared" si="10"/>
        <v>1.8018216218594625E-2</v>
      </c>
      <c r="AP35" s="144">
        <f t="shared" si="14"/>
        <v>0</v>
      </c>
      <c r="AQ35" s="145">
        <f t="shared" si="11"/>
        <v>0</v>
      </c>
    </row>
    <row r="36" spans="1:43" x14ac:dyDescent="0.25">
      <c r="A36" s="156">
        <v>29</v>
      </c>
      <c r="B36" s="157" t="s">
        <v>32</v>
      </c>
      <c r="C36" s="264"/>
      <c r="D36" s="260"/>
      <c r="E36" s="260">
        <v>0</v>
      </c>
      <c r="F36" s="87">
        <f t="shared" si="0"/>
        <v>0</v>
      </c>
      <c r="G36" s="266">
        <v>0</v>
      </c>
      <c r="H36" s="260"/>
      <c r="I36" s="260">
        <v>0</v>
      </c>
      <c r="J36" s="87">
        <f t="shared" si="1"/>
        <v>0</v>
      </c>
      <c r="K36" s="264"/>
      <c r="L36" s="260"/>
      <c r="M36" s="260">
        <v>0</v>
      </c>
      <c r="N36" s="87">
        <f t="shared" si="2"/>
        <v>0</v>
      </c>
      <c r="O36" s="266">
        <v>80.400000000000006</v>
      </c>
      <c r="P36" s="260"/>
      <c r="Q36" s="260">
        <v>0</v>
      </c>
      <c r="R36" s="87">
        <f t="shared" si="3"/>
        <v>80.400000000000006</v>
      </c>
      <c r="S36" s="264"/>
      <c r="T36" s="260"/>
      <c r="U36" s="260">
        <v>0</v>
      </c>
      <c r="V36" s="87">
        <f t="shared" si="4"/>
        <v>0</v>
      </c>
      <c r="W36" s="264">
        <v>0</v>
      </c>
      <c r="X36" s="260"/>
      <c r="Y36" s="260">
        <v>0</v>
      </c>
      <c r="Z36" s="87">
        <f t="shared" si="5"/>
        <v>0</v>
      </c>
      <c r="AA36" s="94">
        <f t="shared" si="12"/>
        <v>80.400000000000006</v>
      </c>
      <c r="AB36" s="96" t="s">
        <v>53</v>
      </c>
      <c r="AC36" s="138"/>
      <c r="AD36" s="146">
        <v>29</v>
      </c>
      <c r="AE36" s="147" t="s">
        <v>32</v>
      </c>
      <c r="AF36" s="141">
        <f t="shared" si="15"/>
        <v>80.400000000000006</v>
      </c>
      <c r="AG36" s="141">
        <f t="shared" si="15"/>
        <v>0</v>
      </c>
      <c r="AH36" s="141">
        <f t="shared" si="16"/>
        <v>0</v>
      </c>
      <c r="AI36" s="108"/>
      <c r="AJ36" s="148">
        <v>29</v>
      </c>
      <c r="AK36" s="149" t="s">
        <v>32</v>
      </c>
      <c r="AL36" s="144">
        <f t="shared" si="8"/>
        <v>80.400000000000006</v>
      </c>
      <c r="AM36" s="145">
        <f t="shared" si="9"/>
        <v>1</v>
      </c>
      <c r="AN36" s="144">
        <f t="shared" si="13"/>
        <v>0</v>
      </c>
      <c r="AO36" s="145">
        <f t="shared" si="10"/>
        <v>0</v>
      </c>
      <c r="AP36" s="144">
        <f t="shared" si="14"/>
        <v>0</v>
      </c>
      <c r="AQ36" s="145">
        <f t="shared" si="11"/>
        <v>0</v>
      </c>
    </row>
    <row r="37" spans="1:43" x14ac:dyDescent="0.25">
      <c r="A37" s="156">
        <v>30</v>
      </c>
      <c r="B37" s="157" t="s">
        <v>33</v>
      </c>
      <c r="C37" s="264"/>
      <c r="D37" s="260"/>
      <c r="E37" s="260">
        <v>0</v>
      </c>
      <c r="F37" s="87">
        <f t="shared" si="0"/>
        <v>0</v>
      </c>
      <c r="G37" s="266">
        <v>0</v>
      </c>
      <c r="H37" s="260"/>
      <c r="I37" s="260">
        <v>5000</v>
      </c>
      <c r="J37" s="87">
        <f t="shared" si="1"/>
        <v>5000</v>
      </c>
      <c r="K37" s="264"/>
      <c r="L37" s="260"/>
      <c r="M37" s="260">
        <v>0</v>
      </c>
      <c r="N37" s="87">
        <f t="shared" si="2"/>
        <v>0</v>
      </c>
      <c r="O37" s="266">
        <v>0</v>
      </c>
      <c r="P37" s="260"/>
      <c r="Q37" s="260">
        <v>7500</v>
      </c>
      <c r="R37" s="87">
        <f t="shared" si="3"/>
        <v>7500</v>
      </c>
      <c r="S37" s="264"/>
      <c r="T37" s="260"/>
      <c r="U37" s="260">
        <v>0</v>
      </c>
      <c r="V37" s="87">
        <f t="shared" si="4"/>
        <v>0</v>
      </c>
      <c r="W37" s="264"/>
      <c r="X37" s="260"/>
      <c r="Y37" s="260">
        <v>0</v>
      </c>
      <c r="Z37" s="87">
        <f t="shared" si="5"/>
        <v>0</v>
      </c>
      <c r="AA37" s="94">
        <f t="shared" si="12"/>
        <v>12500</v>
      </c>
      <c r="AB37" s="96" t="s">
        <v>53</v>
      </c>
      <c r="AC37" s="138"/>
      <c r="AD37" s="146">
        <v>30</v>
      </c>
      <c r="AE37" s="147" t="s">
        <v>33</v>
      </c>
      <c r="AF37" s="141">
        <f t="shared" si="15"/>
        <v>0</v>
      </c>
      <c r="AG37" s="141">
        <f t="shared" si="15"/>
        <v>0</v>
      </c>
      <c r="AH37" s="141">
        <f t="shared" si="16"/>
        <v>12500</v>
      </c>
      <c r="AI37" s="108"/>
      <c r="AJ37" s="148">
        <v>30</v>
      </c>
      <c r="AK37" s="149" t="s">
        <v>33</v>
      </c>
      <c r="AL37" s="144">
        <f t="shared" si="8"/>
        <v>0</v>
      </c>
      <c r="AM37" s="145">
        <f t="shared" si="9"/>
        <v>0</v>
      </c>
      <c r="AN37" s="144">
        <f t="shared" si="13"/>
        <v>0</v>
      </c>
      <c r="AO37" s="145">
        <f t="shared" si="10"/>
        <v>0</v>
      </c>
      <c r="AP37" s="144">
        <f t="shared" si="14"/>
        <v>12500</v>
      </c>
      <c r="AQ37" s="145">
        <f t="shared" si="11"/>
        <v>1</v>
      </c>
    </row>
    <row r="38" spans="1:43" ht="15.75" thickBot="1" x14ac:dyDescent="0.3">
      <c r="A38" s="158">
        <v>31</v>
      </c>
      <c r="B38" s="159" t="s">
        <v>34</v>
      </c>
      <c r="C38" s="265"/>
      <c r="D38" s="262"/>
      <c r="E38" s="262">
        <v>0</v>
      </c>
      <c r="F38" s="88">
        <f t="shared" si="0"/>
        <v>0</v>
      </c>
      <c r="G38" s="266">
        <v>20</v>
      </c>
      <c r="H38" s="262"/>
      <c r="I38" s="262">
        <v>0</v>
      </c>
      <c r="J38" s="88">
        <f t="shared" si="1"/>
        <v>20</v>
      </c>
      <c r="K38" s="265"/>
      <c r="L38" s="262"/>
      <c r="M38" s="262">
        <v>0</v>
      </c>
      <c r="N38" s="88">
        <f t="shared" si="2"/>
        <v>0</v>
      </c>
      <c r="O38" s="266">
        <v>28.2</v>
      </c>
      <c r="P38" s="262"/>
      <c r="Q38" s="262">
        <v>0</v>
      </c>
      <c r="R38" s="88">
        <f t="shared" si="3"/>
        <v>28.2</v>
      </c>
      <c r="S38" s="265"/>
      <c r="T38" s="262"/>
      <c r="U38" s="262">
        <v>0</v>
      </c>
      <c r="V38" s="88">
        <f t="shared" si="4"/>
        <v>0</v>
      </c>
      <c r="W38" s="265"/>
      <c r="X38" s="262"/>
      <c r="Y38" s="262">
        <v>0</v>
      </c>
      <c r="Z38" s="88">
        <f t="shared" si="5"/>
        <v>0</v>
      </c>
      <c r="AA38" s="94">
        <f t="shared" si="12"/>
        <v>48.2</v>
      </c>
      <c r="AB38" s="97" t="s">
        <v>53</v>
      </c>
      <c r="AC38" s="138"/>
      <c r="AD38" s="150">
        <v>31</v>
      </c>
      <c r="AE38" s="151" t="s">
        <v>34</v>
      </c>
      <c r="AF38" s="141">
        <f t="shared" si="15"/>
        <v>48.2</v>
      </c>
      <c r="AG38" s="141">
        <f t="shared" si="15"/>
        <v>0</v>
      </c>
      <c r="AH38" s="141">
        <f t="shared" si="16"/>
        <v>0</v>
      </c>
      <c r="AI38" s="108"/>
      <c r="AJ38" s="148">
        <v>31</v>
      </c>
      <c r="AK38" s="149" t="s">
        <v>34</v>
      </c>
      <c r="AL38" s="152">
        <f t="shared" si="8"/>
        <v>48.2</v>
      </c>
      <c r="AM38" s="153">
        <f t="shared" si="9"/>
        <v>1</v>
      </c>
      <c r="AN38" s="144">
        <f t="shared" si="13"/>
        <v>0</v>
      </c>
      <c r="AO38" s="145">
        <f t="shared" si="10"/>
        <v>0</v>
      </c>
      <c r="AP38" s="144">
        <f t="shared" si="14"/>
        <v>0</v>
      </c>
      <c r="AQ38" s="145">
        <f t="shared" si="11"/>
        <v>0</v>
      </c>
    </row>
    <row r="39" spans="1:43" ht="33.75" customHeight="1" thickBot="1" x14ac:dyDescent="0.3">
      <c r="A39" s="308" t="s">
        <v>58</v>
      </c>
      <c r="B39" s="309"/>
      <c r="C39" s="99">
        <f t="shared" ref="C39:I39" si="17">SUM(C8:C38)</f>
        <v>6944</v>
      </c>
      <c r="D39" s="100">
        <f t="shared" si="17"/>
        <v>391.55999999999995</v>
      </c>
      <c r="E39" s="100">
        <f t="shared" si="17"/>
        <v>0</v>
      </c>
      <c r="F39" s="219">
        <f t="shared" si="17"/>
        <v>7335.5599999999995</v>
      </c>
      <c r="G39" s="101">
        <f t="shared" si="17"/>
        <v>21362.800000000003</v>
      </c>
      <c r="H39" s="102">
        <f t="shared" si="17"/>
        <v>375.43999999999988</v>
      </c>
      <c r="I39" s="102">
        <f t="shared" si="17"/>
        <v>5000</v>
      </c>
      <c r="J39" s="219">
        <f>SUM(J8:J38)</f>
        <v>26738.240000000002</v>
      </c>
      <c r="K39" s="101">
        <f>SUM(K8:K38)</f>
        <v>319.60000000000002</v>
      </c>
      <c r="L39" s="102">
        <f>SUM(L8:L38)</f>
        <v>281.84000000000009</v>
      </c>
      <c r="M39" s="102">
        <f t="shared" ref="M39" si="18">SUM(M8:M38)</f>
        <v>0</v>
      </c>
      <c r="N39" s="219">
        <f>SUM(N8:N38)</f>
        <v>601.44000000000005</v>
      </c>
      <c r="O39" s="101">
        <f>SUM(O8:O38)</f>
        <v>30355.4</v>
      </c>
      <c r="P39" s="102">
        <f>SUM(P8:P38)</f>
        <v>410.28000000000003</v>
      </c>
      <c r="Q39" s="102">
        <f t="shared" ref="Q39" si="19">SUM(Q8:Q38)</f>
        <v>7500</v>
      </c>
      <c r="R39" s="219">
        <f>SUM(R8:R38)</f>
        <v>38265.679999999993</v>
      </c>
      <c r="S39" s="101">
        <f>SUM(S8:S38)</f>
        <v>6160</v>
      </c>
      <c r="T39" s="102">
        <f>SUM(T8:T38)</f>
        <v>270.39999999999992</v>
      </c>
      <c r="U39" s="102">
        <f t="shared" ref="U39" si="20">SUM(U8:U38)</f>
        <v>0</v>
      </c>
      <c r="V39" s="219">
        <f>SUM(V8:V38)</f>
        <v>6430.3999999999987</v>
      </c>
      <c r="W39" s="101">
        <f>SUM(W8:W38)</f>
        <v>3640</v>
      </c>
      <c r="X39" s="102">
        <f>SUM(X8:X38)</f>
        <v>166.4</v>
      </c>
      <c r="Y39" s="102">
        <f t="shared" ref="Y39" si="21">SUM(Y8:Y38)</f>
        <v>0</v>
      </c>
      <c r="Z39" s="219">
        <f>SUM(Z8:Z38)</f>
        <v>3806.3999999999996</v>
      </c>
      <c r="AA39" s="220">
        <f>SUM(AA8:AA38)</f>
        <v>83177.719999999987</v>
      </c>
      <c r="AB39" s="221" t="s">
        <v>51</v>
      </c>
      <c r="AC39" s="103"/>
      <c r="AD39" s="104" t="s">
        <v>96</v>
      </c>
      <c r="AE39" s="105"/>
      <c r="AF39" s="106">
        <f>SUM(AF8:AF38)</f>
        <v>68781.800000000017</v>
      </c>
      <c r="AG39" s="106">
        <f>SUM(AG8:AG38)</f>
        <v>1895.92</v>
      </c>
      <c r="AH39" s="107">
        <f>SUM(AH8:AH38)</f>
        <v>12500</v>
      </c>
      <c r="AI39" s="108"/>
      <c r="AJ39" s="109" t="s">
        <v>94</v>
      </c>
      <c r="AK39" s="110"/>
      <c r="AL39" s="111">
        <f>SUM(AL8:AL38)</f>
        <v>68781.800000000017</v>
      </c>
      <c r="AM39" s="112" t="s">
        <v>64</v>
      </c>
      <c r="AN39" s="111">
        <f>SUM(AN8:AN38)</f>
        <v>1895.92</v>
      </c>
      <c r="AO39" s="113" t="s">
        <v>64</v>
      </c>
      <c r="AP39" s="111">
        <f>SUM(AP8:AP38)</f>
        <v>12500</v>
      </c>
      <c r="AQ39" s="113" t="s">
        <v>64</v>
      </c>
    </row>
    <row r="40" spans="1:43" ht="33.75" customHeight="1" thickBot="1" x14ac:dyDescent="0.3">
      <c r="A40" s="308" t="s">
        <v>59</v>
      </c>
      <c r="B40" s="309"/>
      <c r="C40" s="114">
        <f>C39/1000</f>
        <v>6.944</v>
      </c>
      <c r="D40" s="115">
        <f t="shared" ref="D40:E40" si="22">D39/1000</f>
        <v>0.39155999999999996</v>
      </c>
      <c r="E40" s="115">
        <f t="shared" si="22"/>
        <v>0</v>
      </c>
      <c r="F40" s="222">
        <f>F39/1000</f>
        <v>7.3355599999999992</v>
      </c>
      <c r="G40" s="116">
        <f>G39/1000</f>
        <v>21.362800000000004</v>
      </c>
      <c r="H40" s="117">
        <f t="shared" ref="H40:I40" si="23">H39/1000</f>
        <v>0.37543999999999988</v>
      </c>
      <c r="I40" s="117">
        <f t="shared" si="23"/>
        <v>5</v>
      </c>
      <c r="J40" s="222">
        <f>J39/1000</f>
        <v>26.738240000000001</v>
      </c>
      <c r="K40" s="116">
        <f>K39/1000</f>
        <v>0.3196</v>
      </c>
      <c r="L40" s="117">
        <f t="shared" ref="L40:M40" si="24">L39/1000</f>
        <v>0.28184000000000009</v>
      </c>
      <c r="M40" s="117">
        <f t="shared" si="24"/>
        <v>0</v>
      </c>
      <c r="N40" s="222">
        <f>N39/1000</f>
        <v>0.60144000000000009</v>
      </c>
      <c r="O40" s="116">
        <f>O39/1000</f>
        <v>30.355400000000003</v>
      </c>
      <c r="P40" s="117">
        <f t="shared" ref="P40:Q40" si="25">P39/1000</f>
        <v>0.41028000000000003</v>
      </c>
      <c r="Q40" s="117">
        <f t="shared" si="25"/>
        <v>7.5</v>
      </c>
      <c r="R40" s="222">
        <f>R39/1000</f>
        <v>38.265679999999996</v>
      </c>
      <c r="S40" s="116">
        <f>S39/1000</f>
        <v>6.16</v>
      </c>
      <c r="T40" s="117">
        <f t="shared" ref="T40" si="26">T39/1000</f>
        <v>0.27039999999999992</v>
      </c>
      <c r="U40" s="117">
        <f>U39/1000</f>
        <v>0</v>
      </c>
      <c r="V40" s="222">
        <f>V39/1000</f>
        <v>6.4303999999999988</v>
      </c>
      <c r="W40" s="116">
        <f>W39/1000</f>
        <v>3.64</v>
      </c>
      <c r="X40" s="117">
        <f t="shared" ref="X40:Y40" si="27">X39/1000</f>
        <v>0.16639999999999999</v>
      </c>
      <c r="Y40" s="117">
        <f t="shared" si="27"/>
        <v>0</v>
      </c>
      <c r="Z40" s="222">
        <f>Z39/1000</f>
        <v>3.8063999999999996</v>
      </c>
      <c r="AA40" s="223">
        <f>AA39/1000</f>
        <v>83.177719999999994</v>
      </c>
      <c r="AB40" s="224" t="s">
        <v>52</v>
      </c>
      <c r="AC40" s="103"/>
      <c r="AD40" s="118" t="s">
        <v>97</v>
      </c>
      <c r="AE40" s="119"/>
      <c r="AF40" s="120">
        <f>AF39/1000</f>
        <v>68.781800000000018</v>
      </c>
      <c r="AG40" s="120">
        <f t="shared" ref="AG40:AH40" si="28">AG39/1000</f>
        <v>1.89592</v>
      </c>
      <c r="AH40" s="121">
        <f t="shared" si="28"/>
        <v>12.5</v>
      </c>
      <c r="AI40" s="108"/>
      <c r="AJ40" s="109" t="s">
        <v>95</v>
      </c>
      <c r="AK40" s="110"/>
      <c r="AL40" s="122">
        <f>AL39/1000</f>
        <v>68.781800000000018</v>
      </c>
      <c r="AM40" s="123">
        <f>AL40/AA40</f>
        <v>0.82692576810232388</v>
      </c>
      <c r="AN40" s="122">
        <f>AN39/1000</f>
        <v>1.89592</v>
      </c>
      <c r="AO40" s="124">
        <f>AN40/AA40</f>
        <v>2.2793603864111691E-2</v>
      </c>
      <c r="AP40" s="122">
        <f>AP39/1000</f>
        <v>12.5</v>
      </c>
      <c r="AQ40" s="124">
        <f>AP40/AA40</f>
        <v>0.15028062803356476</v>
      </c>
    </row>
    <row r="41" spans="1:43" ht="33.75" customHeight="1" thickBot="1" x14ac:dyDescent="0.3">
      <c r="A41" s="308" t="s">
        <v>74</v>
      </c>
      <c r="B41" s="309"/>
      <c r="C41" s="114">
        <f>_xlfn.AGGREGATE(1,7,C8:C38)</f>
        <v>248</v>
      </c>
      <c r="D41" s="114">
        <f>_xlfn.AGGREGATE(1,7,D8:D38)</f>
        <v>13.984285714285713</v>
      </c>
      <c r="E41" s="114">
        <f>_xlfn.AGGREGATE(1,7,E8:E38)</f>
        <v>0</v>
      </c>
      <c r="F41" s="222">
        <f>AVERAGEIF(F8:F38,"&gt;0")</f>
        <v>293.42239999999998</v>
      </c>
      <c r="G41" s="114">
        <f>_xlfn.AGGREGATE(1,7,G8:G38)</f>
        <v>689.12258064516141</v>
      </c>
      <c r="H41" s="114">
        <f>_xlfn.AGGREGATE(1,7,H8:H38)</f>
        <v>13.408571428571424</v>
      </c>
      <c r="I41" s="114">
        <f>_xlfn.AGGREGATE(1,7,I8:I38)</f>
        <v>161.29032258064515</v>
      </c>
      <c r="J41" s="222">
        <f>AVERAGEIF(J8:J38,"&gt;0")</f>
        <v>922.00827586206901</v>
      </c>
      <c r="K41" s="114">
        <f>_xlfn.AGGREGATE(1,7,K8:K38)</f>
        <v>11.414285714285715</v>
      </c>
      <c r="L41" s="114">
        <f>_xlfn.AGGREGATE(1,7,L8:L38)</f>
        <v>10.065714285714289</v>
      </c>
      <c r="M41" s="114">
        <f>_xlfn.AGGREGATE(1,7,M8:M38)</f>
        <v>0</v>
      </c>
      <c r="N41" s="222">
        <f>AVERAGEIF(N8:N38,"&gt;0")</f>
        <v>21.48</v>
      </c>
      <c r="O41" s="114">
        <f>_xlfn.AGGREGATE(1,7,O8:O38)</f>
        <v>979.20645161290327</v>
      </c>
      <c r="P41" s="114">
        <f>_xlfn.AGGREGATE(1,7,P8:P38)</f>
        <v>14.652857142857144</v>
      </c>
      <c r="Q41" s="114">
        <f>_xlfn.AGGREGATE(1,7,Q8:Q38)</f>
        <v>241.93548387096774</v>
      </c>
      <c r="R41" s="222">
        <f>AVERAGEIF(R8:R38,"&gt;0")</f>
        <v>1234.3767741935483</v>
      </c>
      <c r="S41" s="114">
        <f>_xlfn.AGGREGATE(1,7,S8:S38)</f>
        <v>220</v>
      </c>
      <c r="T41" s="114">
        <f>_xlfn.AGGREGATE(1,7,T8:T38)</f>
        <v>9.6571428571428548</v>
      </c>
      <c r="U41" s="114">
        <f>_xlfn.AGGREGATE(1,7,U8:U38)</f>
        <v>0</v>
      </c>
      <c r="V41" s="222">
        <f>AVERAGEIF(V8:V38,"&gt;0")</f>
        <v>247.32307692307688</v>
      </c>
      <c r="W41" s="114">
        <f>_xlfn.AGGREGATE(1,7,W8:W38)</f>
        <v>125.51724137931035</v>
      </c>
      <c r="X41" s="114">
        <f>_xlfn.AGGREGATE(1,7,X8:X38)</f>
        <v>5.9428571428571431</v>
      </c>
      <c r="Y41" s="114">
        <f>_xlfn.AGGREGATE(1,7,Y8:Y38)</f>
        <v>0</v>
      </c>
      <c r="Z41" s="222">
        <f>AVERAGEIF(Z8:Z38,"&gt;0")</f>
        <v>158.6</v>
      </c>
      <c r="AA41" s="223">
        <f>AVERAGEIF(AA8:AA38,"&gt;0")</f>
        <v>2683.1522580645155</v>
      </c>
      <c r="AB41" s="225" t="s">
        <v>75</v>
      </c>
      <c r="AC41" s="103"/>
      <c r="AD41" s="118" t="s">
        <v>98</v>
      </c>
      <c r="AE41" s="119"/>
      <c r="AF41" s="125">
        <f>AVERAGEIF(AF8:AF38,"&gt;0")</f>
        <v>2292.7266666666674</v>
      </c>
      <c r="AG41" s="125">
        <f>AVERAGEIF(AG8:AG38,"&gt;0")</f>
        <v>70.21925925925926</v>
      </c>
      <c r="AH41" s="125">
        <f>AVERAGEIF(AH8:AH38,"&gt;0")</f>
        <v>12500</v>
      </c>
      <c r="AI41" s="108"/>
      <c r="AJ41" s="109" t="s">
        <v>99</v>
      </c>
      <c r="AK41" s="110"/>
      <c r="AL41" s="125">
        <f>AVERAGEIF(AL8:AL38,"&gt;0")</f>
        <v>2292.7266666666674</v>
      </c>
      <c r="AM41" s="126" t="s">
        <v>64</v>
      </c>
      <c r="AN41" s="125">
        <f>AVERAGEIF(AN8:AN38,"&gt;0")</f>
        <v>70.21925925925926</v>
      </c>
      <c r="AO41" s="124" t="s">
        <v>64</v>
      </c>
      <c r="AP41" s="125">
        <f>AVERAGEIF(AP8:AP38,"&gt;0")</f>
        <v>12500</v>
      </c>
      <c r="AQ41" s="124" t="s">
        <v>64</v>
      </c>
    </row>
    <row r="42" spans="1:43" x14ac:dyDescent="0.25">
      <c r="J42" s="89" t="s">
        <v>61</v>
      </c>
    </row>
    <row r="44" spans="1:43" x14ac:dyDescent="0.25">
      <c r="A44" s="128" t="s">
        <v>61</v>
      </c>
      <c r="C44" s="130" t="s">
        <v>50</v>
      </c>
      <c r="D44" s="131"/>
    </row>
    <row r="45" spans="1:43" x14ac:dyDescent="0.25">
      <c r="C45" s="132"/>
      <c r="D45" s="131" t="s">
        <v>133</v>
      </c>
    </row>
    <row r="46" spans="1:43" x14ac:dyDescent="0.25">
      <c r="C46" s="133"/>
      <c r="D46" s="131" t="s">
        <v>100</v>
      </c>
    </row>
    <row r="47" spans="1:43" x14ac:dyDescent="0.25">
      <c r="C47" s="134"/>
      <c r="D47" s="131" t="s">
        <v>100</v>
      </c>
    </row>
    <row r="48" spans="1:43" x14ac:dyDescent="0.25">
      <c r="C48" s="135"/>
      <c r="D48" s="131" t="s">
        <v>100</v>
      </c>
    </row>
    <row r="49" spans="3:5" x14ac:dyDescent="0.25">
      <c r="C49" s="136"/>
      <c r="D49" s="131" t="s">
        <v>100</v>
      </c>
    </row>
    <row r="50" spans="3:5" x14ac:dyDescent="0.25">
      <c r="C50" s="137"/>
      <c r="D50" s="131" t="s">
        <v>100</v>
      </c>
    </row>
    <row r="51" spans="3:5" x14ac:dyDescent="0.25">
      <c r="E51" s="129" t="s">
        <v>61</v>
      </c>
    </row>
  </sheetData>
  <sheetProtection algorithmName="SHA-512" hashValue="v3AD44njjYX85t1RR9oBBd3P0ImG2Q6BwzLx7/QRlqX4JxCQycWFgIdLmG7TDqWWcVnRvAlv0gN8HZz1mbDp+A==" saltValue="AlZFx0EUNSVQSOv+YesZdg==" spinCount="100000" sheet="1" objects="1" scenarios="1" formatColumns="0" formatRows="0"/>
  <mergeCells count="14">
    <mergeCell ref="A41:B41"/>
    <mergeCell ref="W6:Y6"/>
    <mergeCell ref="A4:A7"/>
    <mergeCell ref="B4:B7"/>
    <mergeCell ref="A39:B39"/>
    <mergeCell ref="A40:B40"/>
    <mergeCell ref="AJ6:AQ6"/>
    <mergeCell ref="AA3:AA7"/>
    <mergeCell ref="AB3:AB7"/>
    <mergeCell ref="C6:E6"/>
    <mergeCell ref="G6:I6"/>
    <mergeCell ref="K6:M6"/>
    <mergeCell ref="O6:Q6"/>
    <mergeCell ref="S6:U6"/>
  </mergeCells>
  <printOptions horizontalCentered="1"/>
  <pageMargins left="0.19685039370078741" right="0.19685039370078741" top="0.39370078740157483" bottom="0.39370078740157483" header="0.11811023622047245" footer="0.11811023622047245"/>
  <pageSetup paperSize="9" scale="67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9E4C4-6B40-478C-BEF3-19332776064C}">
  <sheetPr>
    <tabColor rgb="FFCCFFFF"/>
    <pageSetUpPr fitToPage="1"/>
  </sheetPr>
  <dimension ref="A1:AQ51"/>
  <sheetViews>
    <sheetView showGridLines="0" view="pageBreakPreview" zoomScale="80" zoomScaleNormal="90" zoomScaleSheetLayoutView="80" workbookViewId="0">
      <pane xSplit="2" ySplit="7" topLeftCell="C23" activePane="bottomRight" state="frozen"/>
      <selection activeCell="H31" sqref="H31"/>
      <selection pane="topRight" activeCell="H31" sqref="H31"/>
      <selection pane="bottomLeft" activeCell="H31" sqref="H31"/>
      <selection pane="bottomRight" activeCell="M35" sqref="M35"/>
    </sheetView>
  </sheetViews>
  <sheetFormatPr defaultColWidth="9.140625" defaultRowHeight="15" x14ac:dyDescent="0.25"/>
  <cols>
    <col min="1" max="1" width="11.42578125" style="128" customWidth="1"/>
    <col min="2" max="2" width="7.28515625" style="128" customWidth="1"/>
    <col min="3" max="3" width="8.140625" style="129" customWidth="1"/>
    <col min="4" max="4" width="6.5703125" style="129" customWidth="1"/>
    <col min="5" max="5" width="9" style="129" customWidth="1"/>
    <col min="6" max="6" width="8.140625" style="89" customWidth="1"/>
    <col min="7" max="7" width="7.85546875" style="129" customWidth="1"/>
    <col min="8" max="8" width="6.5703125" style="129" customWidth="1"/>
    <col min="9" max="9" width="7.85546875" style="129" customWidth="1"/>
    <col min="10" max="10" width="7.85546875" style="89" customWidth="1"/>
    <col min="11" max="13" width="6.5703125" style="129" customWidth="1"/>
    <col min="14" max="14" width="6.5703125" style="89" customWidth="1"/>
    <col min="15" max="15" width="8.140625" style="129" customWidth="1"/>
    <col min="16" max="16" width="6.5703125" style="129" customWidth="1"/>
    <col min="17" max="17" width="8.42578125" style="129" customWidth="1"/>
    <col min="18" max="18" width="7.5703125" style="89" customWidth="1"/>
    <col min="19" max="19" width="8.140625" style="129" customWidth="1"/>
    <col min="20" max="21" width="6.5703125" style="129" customWidth="1"/>
    <col min="22" max="22" width="7.85546875" style="89" customWidth="1"/>
    <col min="23" max="25" width="6.5703125" style="129" customWidth="1"/>
    <col min="26" max="26" width="8.140625" style="89" customWidth="1"/>
    <col min="27" max="27" width="10.42578125" style="91" customWidth="1"/>
    <col min="28" max="28" width="11.85546875" style="98" customWidth="1"/>
    <col min="29" max="29" width="8.5703125" style="98" hidden="1" customWidth="1"/>
    <col min="30" max="30" width="14.140625" style="129" hidden="1" customWidth="1"/>
    <col min="31" max="31" width="6.5703125" style="129" hidden="1" customWidth="1"/>
    <col min="32" max="32" width="11.7109375" style="129" hidden="1" customWidth="1"/>
    <col min="33" max="34" width="10.7109375" style="129" hidden="1" customWidth="1"/>
    <col min="35" max="35" width="8.5703125" style="129" hidden="1" customWidth="1"/>
    <col min="36" max="36" width="15.85546875" style="129" hidden="1" customWidth="1"/>
    <col min="37" max="37" width="6.5703125" style="129" hidden="1" customWidth="1"/>
    <col min="38" max="38" width="7.7109375" style="129" hidden="1" customWidth="1"/>
    <col min="39" max="39" width="11.5703125" style="129" hidden="1" customWidth="1"/>
    <col min="40" max="40" width="6.5703125" style="129" hidden="1" customWidth="1"/>
    <col min="41" max="41" width="11.85546875" style="129" hidden="1" customWidth="1"/>
    <col min="42" max="42" width="6.5703125" style="129" hidden="1" customWidth="1"/>
    <col min="43" max="43" width="11.85546875" style="129" hidden="1" customWidth="1"/>
    <col min="44" max="16384" width="9.140625" style="98"/>
  </cols>
  <sheetData>
    <row r="1" spans="1:43" x14ac:dyDescent="0.25">
      <c r="A1" s="226" t="s">
        <v>116</v>
      </c>
      <c r="B1" s="227" t="str">
        <f>'Rekap Neraca Pengelolaan Sampah'!C3</f>
        <v>PT PELINDO DAYA SEJAHTERA</v>
      </c>
    </row>
    <row r="2" spans="1:43" ht="15.75" thickBot="1" x14ac:dyDescent="0.3">
      <c r="A2" s="226" t="s">
        <v>42</v>
      </c>
      <c r="B2" s="227">
        <f>'Rekap Neraca Pengelolaan Sampah'!G2</f>
        <v>2025</v>
      </c>
    </row>
    <row r="3" spans="1:43" ht="15.75" thickBot="1" x14ac:dyDescent="0.3">
      <c r="A3" s="160" t="s">
        <v>2</v>
      </c>
      <c r="B3" s="82" t="s">
        <v>71</v>
      </c>
      <c r="C3" s="160" t="s">
        <v>36</v>
      </c>
      <c r="D3" s="90"/>
      <c r="E3" s="90"/>
      <c r="F3" s="82"/>
      <c r="G3" s="160" t="s">
        <v>36</v>
      </c>
      <c r="H3" s="90"/>
      <c r="I3" s="90"/>
      <c r="J3" s="90"/>
      <c r="K3" s="160" t="s">
        <v>36</v>
      </c>
      <c r="L3" s="90"/>
      <c r="M3" s="90"/>
      <c r="N3" s="90"/>
      <c r="O3" s="160" t="s">
        <v>36</v>
      </c>
      <c r="P3" s="90"/>
      <c r="Q3" s="90"/>
      <c r="R3" s="90"/>
      <c r="S3" s="160" t="s">
        <v>36</v>
      </c>
      <c r="T3" s="90"/>
      <c r="U3" s="90"/>
      <c r="V3" s="90"/>
      <c r="W3" s="160" t="s">
        <v>36</v>
      </c>
      <c r="X3" s="90"/>
      <c r="Y3" s="90"/>
      <c r="Z3" s="90"/>
      <c r="AA3" s="297" t="s">
        <v>125</v>
      </c>
      <c r="AB3" s="300" t="s">
        <v>57</v>
      </c>
      <c r="AD3" s="161" t="s">
        <v>54</v>
      </c>
      <c r="AE3" s="162"/>
      <c r="AF3" s="162"/>
      <c r="AG3" s="162"/>
      <c r="AH3" s="163"/>
      <c r="AI3" s="91"/>
      <c r="AJ3" s="164" t="s">
        <v>56</v>
      </c>
      <c r="AK3" s="165"/>
      <c r="AL3" s="165"/>
      <c r="AM3" s="165"/>
      <c r="AN3" s="165"/>
      <c r="AO3" s="165"/>
      <c r="AP3" s="165"/>
      <c r="AQ3" s="165"/>
    </row>
    <row r="4" spans="1:43" ht="15" customHeight="1" x14ac:dyDescent="0.25">
      <c r="A4" s="310" t="s">
        <v>0</v>
      </c>
      <c r="B4" s="313" t="s">
        <v>87</v>
      </c>
      <c r="C4" s="98" t="s">
        <v>37</v>
      </c>
      <c r="D4" s="98"/>
      <c r="E4" s="98"/>
      <c r="F4" s="83"/>
      <c r="G4" s="166" t="s">
        <v>37</v>
      </c>
      <c r="H4" s="98"/>
      <c r="I4" s="98"/>
      <c r="J4" s="91"/>
      <c r="K4" s="166" t="s">
        <v>37</v>
      </c>
      <c r="L4" s="98"/>
      <c r="M4" s="98"/>
      <c r="N4" s="91"/>
      <c r="O4" s="166" t="s">
        <v>37</v>
      </c>
      <c r="P4" s="98"/>
      <c r="Q4" s="98"/>
      <c r="R4" s="91"/>
      <c r="S4" s="166" t="s">
        <v>37</v>
      </c>
      <c r="T4" s="98"/>
      <c r="U4" s="98"/>
      <c r="V4" s="91"/>
      <c r="W4" s="166" t="s">
        <v>37</v>
      </c>
      <c r="X4" s="98"/>
      <c r="Y4" s="98"/>
      <c r="Z4" s="91"/>
      <c r="AA4" s="298"/>
      <c r="AB4" s="301"/>
      <c r="AD4" s="167" t="s">
        <v>55</v>
      </c>
      <c r="AE4" s="168"/>
      <c r="AF4" s="168"/>
      <c r="AG4" s="169"/>
      <c r="AH4" s="170"/>
      <c r="AI4" s="98"/>
      <c r="AJ4" s="171" t="s">
        <v>126</v>
      </c>
      <c r="AK4" s="172"/>
      <c r="AL4" s="172"/>
      <c r="AM4" s="173"/>
      <c r="AN4" s="173"/>
      <c r="AO4" s="173"/>
      <c r="AP4" s="173"/>
      <c r="AQ4" s="173"/>
    </row>
    <row r="5" spans="1:43" ht="15.75" thickBot="1" x14ac:dyDescent="0.3">
      <c r="A5" s="311"/>
      <c r="B5" s="314"/>
      <c r="C5" s="91" t="s">
        <v>3</v>
      </c>
      <c r="D5" s="91"/>
      <c r="E5" s="91"/>
      <c r="F5" s="83"/>
      <c r="G5" s="174" t="s">
        <v>3</v>
      </c>
      <c r="H5" s="91"/>
      <c r="I5" s="91"/>
      <c r="J5" s="91"/>
      <c r="K5" s="174" t="s">
        <v>3</v>
      </c>
      <c r="L5" s="91"/>
      <c r="M5" s="91"/>
      <c r="N5" s="91"/>
      <c r="O5" s="174" t="s">
        <v>3</v>
      </c>
      <c r="P5" s="91"/>
      <c r="Q5" s="91"/>
      <c r="R5" s="91"/>
      <c r="S5" s="174" t="s">
        <v>3</v>
      </c>
      <c r="T5" s="91"/>
      <c r="U5" s="91"/>
      <c r="V5" s="91"/>
      <c r="W5" s="174" t="s">
        <v>3</v>
      </c>
      <c r="X5" s="91"/>
      <c r="Y5" s="91"/>
      <c r="Z5" s="91"/>
      <c r="AA5" s="298"/>
      <c r="AB5" s="301"/>
      <c r="AD5" s="175" t="s">
        <v>37</v>
      </c>
      <c r="AE5" s="169"/>
      <c r="AF5" s="169"/>
      <c r="AG5" s="168"/>
      <c r="AH5" s="176"/>
      <c r="AI5" s="91"/>
      <c r="AJ5" s="177" t="s">
        <v>91</v>
      </c>
      <c r="AK5" s="178" t="str">
        <f>B3</f>
        <v>Maret</v>
      </c>
      <c r="AL5" s="178" t="s">
        <v>63</v>
      </c>
      <c r="AM5" s="178" t="str">
        <f>B4</f>
        <v>Tanggal</v>
      </c>
      <c r="AN5" s="179"/>
      <c r="AO5" s="179"/>
      <c r="AP5" s="179"/>
      <c r="AQ5" s="179"/>
    </row>
    <row r="6" spans="1:43" ht="30.75" customHeight="1" thickBot="1" x14ac:dyDescent="0.3">
      <c r="A6" s="311"/>
      <c r="B6" s="314"/>
      <c r="C6" s="316" t="s">
        <v>109</v>
      </c>
      <c r="D6" s="303"/>
      <c r="E6" s="303"/>
      <c r="F6" s="84"/>
      <c r="G6" s="304" t="s">
        <v>123</v>
      </c>
      <c r="H6" s="305"/>
      <c r="I6" s="305"/>
      <c r="J6" s="92"/>
      <c r="K6" s="306" t="s">
        <v>111</v>
      </c>
      <c r="L6" s="307"/>
      <c r="M6" s="307"/>
      <c r="N6" s="93"/>
      <c r="O6" s="306" t="s">
        <v>115</v>
      </c>
      <c r="P6" s="307"/>
      <c r="Q6" s="307"/>
      <c r="R6" s="93"/>
      <c r="S6" s="304" t="s">
        <v>124</v>
      </c>
      <c r="T6" s="305"/>
      <c r="U6" s="305"/>
      <c r="V6" s="92"/>
      <c r="W6" s="304" t="s">
        <v>84</v>
      </c>
      <c r="X6" s="305"/>
      <c r="Y6" s="305"/>
      <c r="Z6" s="93"/>
      <c r="AA6" s="298"/>
      <c r="AB6" s="301"/>
      <c r="AD6" s="180" t="s">
        <v>91</v>
      </c>
      <c r="AE6" s="181" t="str">
        <f>B3</f>
        <v>Maret</v>
      </c>
      <c r="AF6" s="181" t="s">
        <v>63</v>
      </c>
      <c r="AG6" s="169" t="str">
        <f>B4</f>
        <v>Tanggal</v>
      </c>
      <c r="AH6" s="170"/>
      <c r="AI6" s="98"/>
      <c r="AJ6" s="296" t="s">
        <v>93</v>
      </c>
      <c r="AK6" s="296"/>
      <c r="AL6" s="296"/>
      <c r="AM6" s="296"/>
      <c r="AN6" s="296"/>
      <c r="AO6" s="296"/>
      <c r="AP6" s="296"/>
      <c r="AQ6" s="296"/>
    </row>
    <row r="7" spans="1:43" s="191" customFormat="1" ht="120.75" customHeight="1" thickBot="1" x14ac:dyDescent="0.3">
      <c r="A7" s="312"/>
      <c r="B7" s="315"/>
      <c r="C7" s="184" t="s">
        <v>85</v>
      </c>
      <c r="D7" s="182" t="s">
        <v>108</v>
      </c>
      <c r="E7" s="183" t="s">
        <v>145</v>
      </c>
      <c r="F7" s="85" t="s">
        <v>131</v>
      </c>
      <c r="G7" s="184" t="s">
        <v>85</v>
      </c>
      <c r="H7" s="182" t="s">
        <v>108</v>
      </c>
      <c r="I7" s="183" t="s">
        <v>145</v>
      </c>
      <c r="J7" s="85" t="s">
        <v>131</v>
      </c>
      <c r="K7" s="184" t="s">
        <v>85</v>
      </c>
      <c r="L7" s="182" t="s">
        <v>108</v>
      </c>
      <c r="M7" s="183" t="s">
        <v>145</v>
      </c>
      <c r="N7" s="85" t="s">
        <v>131</v>
      </c>
      <c r="O7" s="184" t="s">
        <v>85</v>
      </c>
      <c r="P7" s="182" t="s">
        <v>108</v>
      </c>
      <c r="Q7" s="183" t="s">
        <v>145</v>
      </c>
      <c r="R7" s="85" t="s">
        <v>131</v>
      </c>
      <c r="S7" s="184" t="s">
        <v>85</v>
      </c>
      <c r="T7" s="182" t="s">
        <v>108</v>
      </c>
      <c r="U7" s="183" t="s">
        <v>145</v>
      </c>
      <c r="V7" s="85" t="s">
        <v>131</v>
      </c>
      <c r="W7" s="184" t="s">
        <v>85</v>
      </c>
      <c r="X7" s="182" t="s">
        <v>108</v>
      </c>
      <c r="Y7" s="183" t="s">
        <v>145</v>
      </c>
      <c r="Z7" s="85" t="s">
        <v>131</v>
      </c>
      <c r="AA7" s="299"/>
      <c r="AB7" s="302"/>
      <c r="AC7" s="185"/>
      <c r="AD7" s="186" t="s">
        <v>90</v>
      </c>
      <c r="AE7" s="187" t="s">
        <v>87</v>
      </c>
      <c r="AF7" s="188" t="s">
        <v>92</v>
      </c>
      <c r="AG7" s="188" t="s">
        <v>110</v>
      </c>
      <c r="AH7" s="188" t="s">
        <v>101</v>
      </c>
      <c r="AI7" s="185"/>
      <c r="AJ7" s="189" t="s">
        <v>90</v>
      </c>
      <c r="AK7" s="189" t="s">
        <v>87</v>
      </c>
      <c r="AL7" s="190" t="s">
        <v>40</v>
      </c>
      <c r="AM7" s="190" t="s">
        <v>60</v>
      </c>
      <c r="AN7" s="190" t="s">
        <v>38</v>
      </c>
      <c r="AO7" s="190" t="s">
        <v>39</v>
      </c>
      <c r="AP7" s="190" t="s">
        <v>103</v>
      </c>
      <c r="AQ7" s="190" t="s">
        <v>102</v>
      </c>
    </row>
    <row r="8" spans="1:43" x14ac:dyDescent="0.25">
      <c r="A8" s="154">
        <v>1</v>
      </c>
      <c r="B8" s="155" t="s">
        <v>4</v>
      </c>
      <c r="C8" s="263">
        <v>5</v>
      </c>
      <c r="D8" s="258">
        <f>5+1</f>
        <v>6</v>
      </c>
      <c r="E8" s="258"/>
      <c r="F8" s="86">
        <f t="shared" ref="F8:F38" si="0">SUM(C8:E8)</f>
        <v>11</v>
      </c>
      <c r="G8" s="263">
        <v>6</v>
      </c>
      <c r="H8" s="258">
        <f>1+1</f>
        <v>2</v>
      </c>
      <c r="I8" s="258"/>
      <c r="J8" s="86">
        <f t="shared" ref="J8:J38" si="1">SUM(G8:I8)</f>
        <v>8</v>
      </c>
      <c r="K8" s="263">
        <v>2.7</v>
      </c>
      <c r="L8" s="258">
        <v>3.3</v>
      </c>
      <c r="M8" s="258"/>
      <c r="N8" s="86">
        <f t="shared" ref="N8:N38" si="2">SUM(K8:M8)</f>
        <v>6</v>
      </c>
      <c r="O8" s="263">
        <f>[6]Maret!O8+[3]Maret!X6</f>
        <v>13.9</v>
      </c>
      <c r="P8" s="258">
        <v>3.2</v>
      </c>
      <c r="Q8" s="258"/>
      <c r="R8" s="86">
        <f t="shared" ref="R8:R38" si="3">SUM(O8:Q8)</f>
        <v>17.100000000000001</v>
      </c>
      <c r="S8" s="263">
        <v>5</v>
      </c>
      <c r="T8" s="258">
        <f>3+1</f>
        <v>4</v>
      </c>
      <c r="U8" s="258"/>
      <c r="V8" s="86">
        <f t="shared" ref="V8:V38" si="4">SUM(S8:U8)</f>
        <v>9</v>
      </c>
      <c r="W8" s="263">
        <f>[6]Maret!W8+[3]Maret!AS6</f>
        <v>25</v>
      </c>
      <c r="X8" s="258">
        <v>5</v>
      </c>
      <c r="Y8" s="258"/>
      <c r="Z8" s="86">
        <f t="shared" ref="Z8:Z38" si="5">SUM(W8:Y8)</f>
        <v>30</v>
      </c>
      <c r="AA8" s="94">
        <f>(F8+J8+N8+R8+V8+Z8)</f>
        <v>81.099999999999994</v>
      </c>
      <c r="AB8" s="95" t="s">
        <v>53</v>
      </c>
      <c r="AC8" s="138"/>
      <c r="AD8" s="139">
        <v>1</v>
      </c>
      <c r="AE8" s="140" t="s">
        <v>4</v>
      </c>
      <c r="AF8" s="141">
        <f t="shared" ref="AF8:AG16" si="6">(C8+G8+K8+O8+S8+W8)</f>
        <v>57.6</v>
      </c>
      <c r="AG8" s="141">
        <f t="shared" si="6"/>
        <v>23.5</v>
      </c>
      <c r="AH8" s="141">
        <f t="shared" ref="AH8:AH16" si="7">(E8+I8+M8+Q8++U8+Y8)</f>
        <v>0</v>
      </c>
      <c r="AI8" s="108"/>
      <c r="AJ8" s="142">
        <v>1</v>
      </c>
      <c r="AK8" s="143" t="s">
        <v>4</v>
      </c>
      <c r="AL8" s="144">
        <f t="shared" ref="AL8:AL38" si="8">AF8</f>
        <v>57.6</v>
      </c>
      <c r="AM8" s="145">
        <f t="shared" ref="AM8:AM38" si="9">AL8/AA8</f>
        <v>0.71023427866831079</v>
      </c>
      <c r="AN8" s="144">
        <f>AG8</f>
        <v>23.5</v>
      </c>
      <c r="AO8" s="145">
        <f t="shared" ref="AO8:AO38" si="10">AN8/AA8</f>
        <v>0.28976572133168932</v>
      </c>
      <c r="AP8" s="144">
        <f>AH8</f>
        <v>0</v>
      </c>
      <c r="AQ8" s="145">
        <f t="shared" ref="AQ8:AQ38" si="11">AP8/AA8</f>
        <v>0</v>
      </c>
    </row>
    <row r="9" spans="1:43" x14ac:dyDescent="0.25">
      <c r="A9" s="156">
        <v>2</v>
      </c>
      <c r="B9" s="157" t="s">
        <v>5</v>
      </c>
      <c r="C9" s="264">
        <v>0</v>
      </c>
      <c r="D9" s="260"/>
      <c r="E9" s="260"/>
      <c r="F9" s="87">
        <f t="shared" si="0"/>
        <v>0</v>
      </c>
      <c r="G9" s="264">
        <v>0</v>
      </c>
      <c r="H9" s="260"/>
      <c r="I9" s="260"/>
      <c r="J9" s="87">
        <f t="shared" si="1"/>
        <v>0</v>
      </c>
      <c r="K9" s="264">
        <v>1.9</v>
      </c>
      <c r="L9" s="260">
        <v>2.5</v>
      </c>
      <c r="M9" s="260"/>
      <c r="N9" s="87">
        <f t="shared" si="2"/>
        <v>4.4000000000000004</v>
      </c>
      <c r="O9" s="264">
        <f>[6]Maret!O9+[3]Maret!X7</f>
        <v>4.0999999999999996</v>
      </c>
      <c r="P9" s="260">
        <f>1.1+1</f>
        <v>2.1</v>
      </c>
      <c r="Q9" s="260"/>
      <c r="R9" s="87">
        <f t="shared" si="3"/>
        <v>6.1999999999999993</v>
      </c>
      <c r="S9" s="264"/>
      <c r="T9" s="260">
        <v>1</v>
      </c>
      <c r="U9" s="260"/>
      <c r="V9" s="87">
        <f t="shared" si="4"/>
        <v>1</v>
      </c>
      <c r="W9" s="264">
        <f>[6]Maret!W9+[3]Maret!AS7</f>
        <v>0</v>
      </c>
      <c r="X9" s="260"/>
      <c r="Y9" s="260"/>
      <c r="Z9" s="87">
        <f t="shared" si="5"/>
        <v>0</v>
      </c>
      <c r="AA9" s="94">
        <f t="shared" ref="AA9:AA38" si="12">(F9+J9+N9+R9+V9+Z9)</f>
        <v>11.6</v>
      </c>
      <c r="AB9" s="96" t="s">
        <v>53</v>
      </c>
      <c r="AC9" s="138"/>
      <c r="AD9" s="146">
        <v>2</v>
      </c>
      <c r="AE9" s="147" t="s">
        <v>5</v>
      </c>
      <c r="AF9" s="141">
        <f t="shared" si="6"/>
        <v>6</v>
      </c>
      <c r="AG9" s="141">
        <f t="shared" si="6"/>
        <v>5.6</v>
      </c>
      <c r="AH9" s="141">
        <f t="shared" si="7"/>
        <v>0</v>
      </c>
      <c r="AI9" s="108"/>
      <c r="AJ9" s="148">
        <v>2</v>
      </c>
      <c r="AK9" s="149" t="s">
        <v>5</v>
      </c>
      <c r="AL9" s="144">
        <f t="shared" si="8"/>
        <v>6</v>
      </c>
      <c r="AM9" s="145">
        <f t="shared" si="9"/>
        <v>0.51724137931034486</v>
      </c>
      <c r="AN9" s="144">
        <f t="shared" ref="AN9:AN38" si="13">AG9</f>
        <v>5.6</v>
      </c>
      <c r="AO9" s="145">
        <f t="shared" si="10"/>
        <v>0.48275862068965514</v>
      </c>
      <c r="AP9" s="144">
        <f t="shared" ref="AP9:AP38" si="14">AH9</f>
        <v>0</v>
      </c>
      <c r="AQ9" s="145">
        <f t="shared" si="11"/>
        <v>0</v>
      </c>
    </row>
    <row r="10" spans="1:43" x14ac:dyDescent="0.25">
      <c r="A10" s="156">
        <v>3</v>
      </c>
      <c r="B10" s="157" t="s">
        <v>6</v>
      </c>
      <c r="C10" s="264">
        <v>205</v>
      </c>
      <c r="D10" s="260">
        <f>8.2+1</f>
        <v>9.1999999999999993</v>
      </c>
      <c r="E10" s="260">
        <f>290+200</f>
        <v>490</v>
      </c>
      <c r="F10" s="87">
        <f t="shared" si="0"/>
        <v>704.2</v>
      </c>
      <c r="G10" s="264">
        <v>110.5</v>
      </c>
      <c r="H10" s="260">
        <f>4.7+1</f>
        <v>5.7</v>
      </c>
      <c r="I10" s="260">
        <f>400+200</f>
        <v>600</v>
      </c>
      <c r="J10" s="87">
        <f t="shared" si="1"/>
        <v>716.2</v>
      </c>
      <c r="K10" s="264">
        <v>2.8</v>
      </c>
      <c r="L10" s="260">
        <v>2.4</v>
      </c>
      <c r="M10" s="260">
        <v>200</v>
      </c>
      <c r="N10" s="87">
        <f t="shared" si="2"/>
        <v>205.2</v>
      </c>
      <c r="O10" s="264">
        <f>[6]Maret!O10+[3]Maret!X8</f>
        <v>364.1</v>
      </c>
      <c r="P10" s="260">
        <v>3</v>
      </c>
      <c r="Q10" s="260">
        <f>350+400</f>
        <v>750</v>
      </c>
      <c r="R10" s="87">
        <f t="shared" si="3"/>
        <v>1117.0999999999999</v>
      </c>
      <c r="S10" s="264">
        <f>5+60</f>
        <v>65</v>
      </c>
      <c r="T10" s="260">
        <f>3+3</f>
        <v>6</v>
      </c>
      <c r="U10" s="260">
        <f>50+194</f>
        <v>244</v>
      </c>
      <c r="V10" s="87">
        <f t="shared" si="4"/>
        <v>315</v>
      </c>
      <c r="W10" s="264">
        <f>[6]Maret!W10+[3]Maret!AS8</f>
        <v>25</v>
      </c>
      <c r="X10" s="260">
        <f>5+2</f>
        <v>7</v>
      </c>
      <c r="Y10" s="260">
        <f>200+6</f>
        <v>206</v>
      </c>
      <c r="Z10" s="87">
        <f t="shared" si="5"/>
        <v>238</v>
      </c>
      <c r="AA10" s="94">
        <f t="shared" si="12"/>
        <v>3295.7</v>
      </c>
      <c r="AB10" s="96" t="s">
        <v>53</v>
      </c>
      <c r="AC10" s="138"/>
      <c r="AD10" s="146">
        <v>3</v>
      </c>
      <c r="AE10" s="147" t="s">
        <v>6</v>
      </c>
      <c r="AF10" s="141">
        <f t="shared" si="6"/>
        <v>772.40000000000009</v>
      </c>
      <c r="AG10" s="141">
        <f t="shared" si="6"/>
        <v>33.299999999999997</v>
      </c>
      <c r="AH10" s="141">
        <f t="shared" si="7"/>
        <v>2490</v>
      </c>
      <c r="AI10" s="108"/>
      <c r="AJ10" s="148">
        <v>3</v>
      </c>
      <c r="AK10" s="149" t="s">
        <v>6</v>
      </c>
      <c r="AL10" s="144">
        <f t="shared" si="8"/>
        <v>772.40000000000009</v>
      </c>
      <c r="AM10" s="145">
        <f t="shared" si="9"/>
        <v>0.23436599205024733</v>
      </c>
      <c r="AN10" s="144">
        <f t="shared" si="13"/>
        <v>33.299999999999997</v>
      </c>
      <c r="AO10" s="145">
        <f t="shared" si="10"/>
        <v>1.0104075006827078E-2</v>
      </c>
      <c r="AP10" s="144">
        <f t="shared" si="14"/>
        <v>2490</v>
      </c>
      <c r="AQ10" s="145">
        <f t="shared" si="11"/>
        <v>0.7555299329429257</v>
      </c>
    </row>
    <row r="11" spans="1:43" x14ac:dyDescent="0.25">
      <c r="A11" s="156">
        <v>4</v>
      </c>
      <c r="B11" s="157" t="s">
        <v>7</v>
      </c>
      <c r="C11" s="264">
        <v>205</v>
      </c>
      <c r="D11" s="260">
        <f>3+1</f>
        <v>4</v>
      </c>
      <c r="E11" s="260">
        <f>290+250</f>
        <v>540</v>
      </c>
      <c r="F11" s="87">
        <f t="shared" si="0"/>
        <v>749</v>
      </c>
      <c r="G11" s="264">
        <v>59.9</v>
      </c>
      <c r="H11" s="260">
        <f>1.7+1</f>
        <v>2.7</v>
      </c>
      <c r="I11" s="260">
        <f>350+250</f>
        <v>600</v>
      </c>
      <c r="J11" s="87">
        <f t="shared" si="1"/>
        <v>662.6</v>
      </c>
      <c r="K11" s="264">
        <v>3.1</v>
      </c>
      <c r="L11" s="260">
        <v>1.1000000000000001</v>
      </c>
      <c r="M11" s="260">
        <v>300</v>
      </c>
      <c r="N11" s="87">
        <f t="shared" si="2"/>
        <v>304.2</v>
      </c>
      <c r="O11" s="264">
        <f>[6]Maret!O11+[3]Maret!X9</f>
        <v>313.8</v>
      </c>
      <c r="P11" s="260">
        <f>5.4+1</f>
        <v>6.4</v>
      </c>
      <c r="Q11" s="260">
        <f>450+280</f>
        <v>730</v>
      </c>
      <c r="R11" s="87">
        <f t="shared" si="3"/>
        <v>1050.2</v>
      </c>
      <c r="S11" s="264">
        <f>5+60</f>
        <v>65</v>
      </c>
      <c r="T11" s="260">
        <f>3+1</f>
        <v>4</v>
      </c>
      <c r="U11" s="260">
        <f>100+120</f>
        <v>220</v>
      </c>
      <c r="V11" s="87">
        <f t="shared" si="4"/>
        <v>289</v>
      </c>
      <c r="W11" s="264">
        <f>[6]Maret!W11+[3]Maret!AS9</f>
        <v>30</v>
      </c>
      <c r="X11" s="260">
        <v>5</v>
      </c>
      <c r="Y11" s="260">
        <f>200+10</f>
        <v>210</v>
      </c>
      <c r="Z11" s="87">
        <f t="shared" si="5"/>
        <v>245</v>
      </c>
      <c r="AA11" s="94">
        <f t="shared" si="12"/>
        <v>3300</v>
      </c>
      <c r="AB11" s="96" t="s">
        <v>53</v>
      </c>
      <c r="AC11" s="138"/>
      <c r="AD11" s="146">
        <v>4</v>
      </c>
      <c r="AE11" s="147" t="s">
        <v>7</v>
      </c>
      <c r="AF11" s="141">
        <f t="shared" si="6"/>
        <v>676.8</v>
      </c>
      <c r="AG11" s="141">
        <f t="shared" si="6"/>
        <v>23.200000000000003</v>
      </c>
      <c r="AH11" s="141">
        <f t="shared" si="7"/>
        <v>2600</v>
      </c>
      <c r="AI11" s="108"/>
      <c r="AJ11" s="148">
        <v>4</v>
      </c>
      <c r="AK11" s="149" t="s">
        <v>7</v>
      </c>
      <c r="AL11" s="144">
        <f t="shared" si="8"/>
        <v>676.8</v>
      </c>
      <c r="AM11" s="145">
        <f t="shared" si="9"/>
        <v>0.20509090909090907</v>
      </c>
      <c r="AN11" s="144">
        <f t="shared" si="13"/>
        <v>23.200000000000003</v>
      </c>
      <c r="AO11" s="145">
        <f t="shared" si="10"/>
        <v>7.0303030303030308E-3</v>
      </c>
      <c r="AP11" s="144">
        <f t="shared" si="14"/>
        <v>2600</v>
      </c>
      <c r="AQ11" s="145">
        <f t="shared" si="11"/>
        <v>0.78787878787878785</v>
      </c>
    </row>
    <row r="12" spans="1:43" x14ac:dyDescent="0.25">
      <c r="A12" s="156">
        <v>5</v>
      </c>
      <c r="B12" s="157" t="s">
        <v>8</v>
      </c>
      <c r="C12" s="264">
        <v>305</v>
      </c>
      <c r="D12" s="260">
        <v>6.9</v>
      </c>
      <c r="E12" s="260"/>
      <c r="F12" s="87">
        <f t="shared" si="0"/>
        <v>311.89999999999998</v>
      </c>
      <c r="G12" s="264">
        <v>59.1</v>
      </c>
      <c r="H12" s="260">
        <v>1.7</v>
      </c>
      <c r="I12" s="260"/>
      <c r="J12" s="87">
        <f t="shared" si="1"/>
        <v>60.800000000000004</v>
      </c>
      <c r="K12" s="264">
        <v>2.4</v>
      </c>
      <c r="L12" s="260">
        <v>3.6</v>
      </c>
      <c r="M12" s="260"/>
      <c r="N12" s="87">
        <f t="shared" si="2"/>
        <v>6</v>
      </c>
      <c r="O12" s="264">
        <f>[6]Maret!O12+[3]Maret!X10</f>
        <v>365.1</v>
      </c>
      <c r="P12" s="260">
        <v>3.6</v>
      </c>
      <c r="Q12" s="260"/>
      <c r="R12" s="87">
        <f t="shared" si="3"/>
        <v>368.70000000000005</v>
      </c>
      <c r="S12" s="264">
        <f>5+50</f>
        <v>55</v>
      </c>
      <c r="T12" s="260">
        <f>3+1</f>
        <v>4</v>
      </c>
      <c r="U12" s="260"/>
      <c r="V12" s="87">
        <f t="shared" si="4"/>
        <v>59</v>
      </c>
      <c r="W12" s="264">
        <v>50</v>
      </c>
      <c r="X12" s="260">
        <v>5</v>
      </c>
      <c r="Y12" s="260"/>
      <c r="Z12" s="87">
        <f t="shared" si="5"/>
        <v>55</v>
      </c>
      <c r="AA12" s="94">
        <f t="shared" si="12"/>
        <v>861.40000000000009</v>
      </c>
      <c r="AB12" s="96" t="s">
        <v>53</v>
      </c>
      <c r="AC12" s="138"/>
      <c r="AD12" s="146">
        <v>5</v>
      </c>
      <c r="AE12" s="147" t="s">
        <v>8</v>
      </c>
      <c r="AF12" s="141">
        <f t="shared" si="6"/>
        <v>836.6</v>
      </c>
      <c r="AG12" s="141">
        <f t="shared" si="6"/>
        <v>24.799999999999997</v>
      </c>
      <c r="AH12" s="141">
        <f t="shared" si="7"/>
        <v>0</v>
      </c>
      <c r="AI12" s="108"/>
      <c r="AJ12" s="148">
        <v>5</v>
      </c>
      <c r="AK12" s="149" t="s">
        <v>8</v>
      </c>
      <c r="AL12" s="144">
        <f t="shared" si="8"/>
        <v>836.6</v>
      </c>
      <c r="AM12" s="145">
        <f t="shared" si="9"/>
        <v>0.9712096586951473</v>
      </c>
      <c r="AN12" s="144">
        <f t="shared" si="13"/>
        <v>24.799999999999997</v>
      </c>
      <c r="AO12" s="145">
        <f t="shared" si="10"/>
        <v>2.879034130485256E-2</v>
      </c>
      <c r="AP12" s="144">
        <f t="shared" si="14"/>
        <v>0</v>
      </c>
      <c r="AQ12" s="145">
        <f t="shared" si="11"/>
        <v>0</v>
      </c>
    </row>
    <row r="13" spans="1:43" x14ac:dyDescent="0.25">
      <c r="A13" s="156">
        <v>6</v>
      </c>
      <c r="B13" s="157" t="s">
        <v>9</v>
      </c>
      <c r="C13" s="264">
        <v>255</v>
      </c>
      <c r="D13" s="260">
        <v>6</v>
      </c>
      <c r="E13" s="260"/>
      <c r="F13" s="87">
        <f t="shared" si="0"/>
        <v>261</v>
      </c>
      <c r="G13" s="264">
        <v>110.2</v>
      </c>
      <c r="H13" s="260">
        <f>2.6+1</f>
        <v>3.6</v>
      </c>
      <c r="I13" s="260"/>
      <c r="J13" s="87">
        <f t="shared" si="1"/>
        <v>113.8</v>
      </c>
      <c r="K13" s="264">
        <v>2</v>
      </c>
      <c r="L13" s="260">
        <v>2.9</v>
      </c>
      <c r="M13" s="260"/>
      <c r="N13" s="87">
        <f t="shared" si="2"/>
        <v>4.9000000000000004</v>
      </c>
      <c r="O13" s="264">
        <f>[6]Maret!O13+[3]Maret!X11</f>
        <v>415.4</v>
      </c>
      <c r="P13" s="260">
        <f>2.4+1</f>
        <v>3.4</v>
      </c>
      <c r="Q13" s="260"/>
      <c r="R13" s="87">
        <f t="shared" si="3"/>
        <v>418.79999999999995</v>
      </c>
      <c r="S13" s="264">
        <f>5+50</f>
        <v>55</v>
      </c>
      <c r="T13" s="260">
        <f>2+2</f>
        <v>4</v>
      </c>
      <c r="U13" s="260"/>
      <c r="V13" s="87">
        <f t="shared" si="4"/>
        <v>59</v>
      </c>
      <c r="W13" s="264">
        <v>45</v>
      </c>
      <c r="X13" s="260">
        <f>5+1</f>
        <v>6</v>
      </c>
      <c r="Y13" s="260"/>
      <c r="Z13" s="87">
        <f t="shared" si="5"/>
        <v>51</v>
      </c>
      <c r="AA13" s="94">
        <f t="shared" si="12"/>
        <v>908.5</v>
      </c>
      <c r="AB13" s="96" t="s">
        <v>53</v>
      </c>
      <c r="AC13" s="138"/>
      <c r="AD13" s="146">
        <v>6</v>
      </c>
      <c r="AE13" s="147" t="s">
        <v>9</v>
      </c>
      <c r="AF13" s="141">
        <f t="shared" si="6"/>
        <v>882.59999999999991</v>
      </c>
      <c r="AG13" s="141">
        <f t="shared" si="6"/>
        <v>25.9</v>
      </c>
      <c r="AH13" s="141">
        <f t="shared" si="7"/>
        <v>0</v>
      </c>
      <c r="AI13" s="108"/>
      <c r="AJ13" s="148">
        <v>6</v>
      </c>
      <c r="AK13" s="149" t="s">
        <v>9</v>
      </c>
      <c r="AL13" s="144">
        <f t="shared" si="8"/>
        <v>882.59999999999991</v>
      </c>
      <c r="AM13" s="145">
        <f t="shared" si="9"/>
        <v>0.97149146945514575</v>
      </c>
      <c r="AN13" s="144">
        <f t="shared" si="13"/>
        <v>25.9</v>
      </c>
      <c r="AO13" s="145">
        <f t="shared" si="10"/>
        <v>2.8508530544854152E-2</v>
      </c>
      <c r="AP13" s="144">
        <f t="shared" si="14"/>
        <v>0</v>
      </c>
      <c r="AQ13" s="145">
        <f t="shared" si="11"/>
        <v>0</v>
      </c>
    </row>
    <row r="14" spans="1:43" x14ac:dyDescent="0.25">
      <c r="A14" s="156">
        <v>7</v>
      </c>
      <c r="B14" s="157" t="s">
        <v>10</v>
      </c>
      <c r="C14" s="264">
        <v>255</v>
      </c>
      <c r="D14" s="260">
        <f>1.7+1</f>
        <v>2.7</v>
      </c>
      <c r="E14" s="260"/>
      <c r="F14" s="87">
        <f t="shared" si="0"/>
        <v>257.7</v>
      </c>
      <c r="G14" s="264">
        <v>60.7</v>
      </c>
      <c r="H14" s="260">
        <v>0.7</v>
      </c>
      <c r="I14" s="260"/>
      <c r="J14" s="87">
        <f t="shared" si="1"/>
        <v>61.400000000000006</v>
      </c>
      <c r="K14" s="264">
        <v>2.8</v>
      </c>
      <c r="L14" s="260">
        <v>5.2</v>
      </c>
      <c r="M14" s="260"/>
      <c r="N14" s="87">
        <f t="shared" si="2"/>
        <v>8</v>
      </c>
      <c r="O14" s="264">
        <f>[6]Maret!O14+[3]Maret!X12</f>
        <v>304.3</v>
      </c>
      <c r="P14" s="260">
        <f>4.5+1</f>
        <v>5.5</v>
      </c>
      <c r="Q14" s="260"/>
      <c r="R14" s="87">
        <f t="shared" si="3"/>
        <v>309.8</v>
      </c>
      <c r="S14" s="264">
        <f>5+60</f>
        <v>65</v>
      </c>
      <c r="T14" s="260">
        <f>1+1</f>
        <v>2</v>
      </c>
      <c r="U14" s="260"/>
      <c r="V14" s="87">
        <f t="shared" si="4"/>
        <v>67</v>
      </c>
      <c r="W14" s="264">
        <f>[6]Maret!W14+[3]Maret!AS12</f>
        <v>25</v>
      </c>
      <c r="X14" s="260">
        <v>5</v>
      </c>
      <c r="Y14" s="260"/>
      <c r="Z14" s="87">
        <f t="shared" si="5"/>
        <v>30</v>
      </c>
      <c r="AA14" s="94">
        <f t="shared" si="12"/>
        <v>733.90000000000009</v>
      </c>
      <c r="AB14" s="96" t="s">
        <v>53</v>
      </c>
      <c r="AC14" s="138"/>
      <c r="AD14" s="146">
        <v>7</v>
      </c>
      <c r="AE14" s="147" t="s">
        <v>10</v>
      </c>
      <c r="AF14" s="141">
        <f t="shared" si="6"/>
        <v>712.8</v>
      </c>
      <c r="AG14" s="141">
        <f t="shared" si="6"/>
        <v>21.1</v>
      </c>
      <c r="AH14" s="141">
        <f t="shared" si="7"/>
        <v>0</v>
      </c>
      <c r="AI14" s="108"/>
      <c r="AJ14" s="148">
        <v>7</v>
      </c>
      <c r="AK14" s="149" t="s">
        <v>10</v>
      </c>
      <c r="AL14" s="144">
        <f t="shared" si="8"/>
        <v>712.8</v>
      </c>
      <c r="AM14" s="145">
        <f t="shared" si="9"/>
        <v>0.97124948903120301</v>
      </c>
      <c r="AN14" s="144">
        <f t="shared" si="13"/>
        <v>21.1</v>
      </c>
      <c r="AO14" s="145">
        <f t="shared" si="10"/>
        <v>2.8750510968796838E-2</v>
      </c>
      <c r="AP14" s="144">
        <f t="shared" si="14"/>
        <v>0</v>
      </c>
      <c r="AQ14" s="145">
        <f t="shared" si="11"/>
        <v>0</v>
      </c>
    </row>
    <row r="15" spans="1:43" x14ac:dyDescent="0.25">
      <c r="A15" s="156">
        <v>8</v>
      </c>
      <c r="B15" s="157" t="s">
        <v>11</v>
      </c>
      <c r="C15" s="264">
        <v>5</v>
      </c>
      <c r="D15" s="260">
        <v>1</v>
      </c>
      <c r="E15" s="260"/>
      <c r="F15" s="87">
        <f t="shared" si="0"/>
        <v>6</v>
      </c>
      <c r="G15" s="264">
        <v>6</v>
      </c>
      <c r="H15" s="260">
        <v>1</v>
      </c>
      <c r="I15" s="260"/>
      <c r="J15" s="87">
        <f t="shared" si="1"/>
        <v>7</v>
      </c>
      <c r="K15" s="264">
        <v>2.7</v>
      </c>
      <c r="L15" s="260">
        <v>2.9</v>
      </c>
      <c r="M15" s="260"/>
      <c r="N15" s="87">
        <f t="shared" si="2"/>
        <v>5.6</v>
      </c>
      <c r="O15" s="264">
        <f>[6]Maret!O15+[3]Maret!X13</f>
        <v>14.2</v>
      </c>
      <c r="P15" s="260">
        <v>2.4</v>
      </c>
      <c r="Q15" s="260"/>
      <c r="R15" s="87">
        <f t="shared" si="3"/>
        <v>16.599999999999998</v>
      </c>
      <c r="S15" s="264">
        <v>5</v>
      </c>
      <c r="T15" s="260">
        <f>1+1</f>
        <v>2</v>
      </c>
      <c r="U15" s="260"/>
      <c r="V15" s="87">
        <f t="shared" si="4"/>
        <v>7</v>
      </c>
      <c r="W15" s="264">
        <f>[6]Maret!W15+[3]Maret!AS13</f>
        <v>25</v>
      </c>
      <c r="X15" s="260">
        <v>5</v>
      </c>
      <c r="Y15" s="260"/>
      <c r="Z15" s="87">
        <f t="shared" si="5"/>
        <v>30</v>
      </c>
      <c r="AA15" s="94">
        <f t="shared" si="12"/>
        <v>72.2</v>
      </c>
      <c r="AB15" s="96" t="s">
        <v>53</v>
      </c>
      <c r="AC15" s="138"/>
      <c r="AD15" s="146">
        <v>8</v>
      </c>
      <c r="AE15" s="147" t="s">
        <v>11</v>
      </c>
      <c r="AF15" s="141">
        <f t="shared" si="6"/>
        <v>57.9</v>
      </c>
      <c r="AG15" s="141">
        <f t="shared" si="6"/>
        <v>14.3</v>
      </c>
      <c r="AH15" s="141">
        <f t="shared" si="7"/>
        <v>0</v>
      </c>
      <c r="AI15" s="108"/>
      <c r="AJ15" s="148">
        <v>8</v>
      </c>
      <c r="AK15" s="149" t="s">
        <v>11</v>
      </c>
      <c r="AL15" s="144">
        <f t="shared" si="8"/>
        <v>57.9</v>
      </c>
      <c r="AM15" s="145">
        <f t="shared" si="9"/>
        <v>0.80193905817174516</v>
      </c>
      <c r="AN15" s="144">
        <f t="shared" si="13"/>
        <v>14.3</v>
      </c>
      <c r="AO15" s="145">
        <f t="shared" si="10"/>
        <v>0.19806094182825484</v>
      </c>
      <c r="AP15" s="144">
        <f t="shared" si="14"/>
        <v>0</v>
      </c>
      <c r="AQ15" s="145">
        <f t="shared" si="11"/>
        <v>0</v>
      </c>
    </row>
    <row r="16" spans="1:43" x14ac:dyDescent="0.25">
      <c r="A16" s="156">
        <v>9</v>
      </c>
      <c r="B16" s="157" t="s">
        <v>12</v>
      </c>
      <c r="C16" s="264">
        <v>0</v>
      </c>
      <c r="D16" s="260"/>
      <c r="E16" s="260"/>
      <c r="F16" s="87">
        <f t="shared" si="0"/>
        <v>0</v>
      </c>
      <c r="G16" s="264">
        <v>0</v>
      </c>
      <c r="H16" s="260"/>
      <c r="I16" s="260"/>
      <c r="J16" s="87">
        <f t="shared" si="1"/>
        <v>0</v>
      </c>
      <c r="K16" s="264">
        <v>2.1</v>
      </c>
      <c r="L16" s="260">
        <v>2.7</v>
      </c>
      <c r="M16" s="260"/>
      <c r="N16" s="87">
        <f t="shared" si="2"/>
        <v>4.8000000000000007</v>
      </c>
      <c r="O16" s="264">
        <f>[6]Maret!O16+[3]Maret!X14</f>
        <v>4.8</v>
      </c>
      <c r="P16" s="260">
        <v>1.3</v>
      </c>
      <c r="Q16" s="260"/>
      <c r="R16" s="87">
        <f t="shared" si="3"/>
        <v>6.1</v>
      </c>
      <c r="S16" s="264"/>
      <c r="T16" s="260">
        <v>2</v>
      </c>
      <c r="U16" s="260"/>
      <c r="V16" s="87">
        <f t="shared" si="4"/>
        <v>2</v>
      </c>
      <c r="W16" s="264">
        <f>[6]Maret!W16+[3]Maret!AS14</f>
        <v>0</v>
      </c>
      <c r="X16" s="260"/>
      <c r="Y16" s="260"/>
      <c r="Z16" s="87">
        <f t="shared" si="5"/>
        <v>0</v>
      </c>
      <c r="AA16" s="94">
        <f t="shared" si="12"/>
        <v>12.9</v>
      </c>
      <c r="AB16" s="96" t="s">
        <v>53</v>
      </c>
      <c r="AC16" s="138"/>
      <c r="AD16" s="146">
        <v>9</v>
      </c>
      <c r="AE16" s="147" t="s">
        <v>12</v>
      </c>
      <c r="AF16" s="141">
        <f t="shared" si="6"/>
        <v>6.9</v>
      </c>
      <c r="AG16" s="141">
        <f t="shared" si="6"/>
        <v>6</v>
      </c>
      <c r="AH16" s="141">
        <f t="shared" si="7"/>
        <v>0</v>
      </c>
      <c r="AI16" s="108"/>
      <c r="AJ16" s="148">
        <v>9</v>
      </c>
      <c r="AK16" s="149" t="s">
        <v>12</v>
      </c>
      <c r="AL16" s="144">
        <f t="shared" si="8"/>
        <v>6.9</v>
      </c>
      <c r="AM16" s="145">
        <f t="shared" si="9"/>
        <v>0.53488372093023262</v>
      </c>
      <c r="AN16" s="144">
        <f t="shared" si="13"/>
        <v>6</v>
      </c>
      <c r="AO16" s="145">
        <f t="shared" si="10"/>
        <v>0.46511627906976744</v>
      </c>
      <c r="AP16" s="144">
        <f t="shared" si="14"/>
        <v>0</v>
      </c>
      <c r="AQ16" s="145">
        <f t="shared" si="11"/>
        <v>0</v>
      </c>
    </row>
    <row r="17" spans="1:43" x14ac:dyDescent="0.25">
      <c r="A17" s="156">
        <v>10</v>
      </c>
      <c r="B17" s="157" t="s">
        <v>13</v>
      </c>
      <c r="C17" s="264">
        <v>255</v>
      </c>
      <c r="D17" s="260">
        <f>3.9+1</f>
        <v>4.9000000000000004</v>
      </c>
      <c r="E17" s="260"/>
      <c r="F17" s="87">
        <f t="shared" si="0"/>
        <v>259.89999999999998</v>
      </c>
      <c r="G17" s="264">
        <v>61.6</v>
      </c>
      <c r="H17" s="260">
        <f>4.4+1</f>
        <v>5.4</v>
      </c>
      <c r="I17" s="260"/>
      <c r="J17" s="87">
        <f t="shared" si="1"/>
        <v>67</v>
      </c>
      <c r="K17" s="264">
        <v>2.5</v>
      </c>
      <c r="L17" s="260">
        <v>1.6</v>
      </c>
      <c r="M17" s="260"/>
      <c r="N17" s="87">
        <f t="shared" si="2"/>
        <v>4.0999999999999996</v>
      </c>
      <c r="O17" s="264">
        <f>[6]Maret!O17+[3]Maret!X15</f>
        <v>415.1</v>
      </c>
      <c r="P17" s="260">
        <f>4.4+1</f>
        <v>5.4</v>
      </c>
      <c r="Q17" s="260"/>
      <c r="R17" s="87">
        <f t="shared" si="3"/>
        <v>420.5</v>
      </c>
      <c r="S17" s="264">
        <f>5+70</f>
        <v>75</v>
      </c>
      <c r="T17" s="260">
        <f>1+3</f>
        <v>4</v>
      </c>
      <c r="U17" s="260"/>
      <c r="V17" s="87">
        <f t="shared" si="4"/>
        <v>79</v>
      </c>
      <c r="W17" s="264">
        <f>[6]Maret!W17+[3]Maret!AS15</f>
        <v>30</v>
      </c>
      <c r="X17" s="260">
        <v>5</v>
      </c>
      <c r="Y17" s="260"/>
      <c r="Z17" s="87">
        <f t="shared" si="5"/>
        <v>35</v>
      </c>
      <c r="AA17" s="94">
        <f t="shared" si="12"/>
        <v>865.5</v>
      </c>
      <c r="AB17" s="96" t="s">
        <v>53</v>
      </c>
      <c r="AC17" s="138"/>
      <c r="AD17" s="146">
        <v>10</v>
      </c>
      <c r="AE17" s="147" t="s">
        <v>13</v>
      </c>
      <c r="AF17" s="141">
        <f>(C17+G17+K17+O17+S17+W17)</f>
        <v>839.2</v>
      </c>
      <c r="AG17" s="141">
        <f>(D17+H17+L17+P17+T17+X17)</f>
        <v>26.3</v>
      </c>
      <c r="AH17" s="141">
        <f>(E17+I17+M17+Q17++U17+Y17)</f>
        <v>0</v>
      </c>
      <c r="AI17" s="108"/>
      <c r="AJ17" s="148">
        <v>10</v>
      </c>
      <c r="AK17" s="149" t="s">
        <v>13</v>
      </c>
      <c r="AL17" s="144">
        <f t="shared" si="8"/>
        <v>839.2</v>
      </c>
      <c r="AM17" s="145">
        <f t="shared" si="9"/>
        <v>0.96961294049682267</v>
      </c>
      <c r="AN17" s="144">
        <f t="shared" si="13"/>
        <v>26.3</v>
      </c>
      <c r="AO17" s="145">
        <f t="shared" si="10"/>
        <v>3.0387059503177355E-2</v>
      </c>
      <c r="AP17" s="144">
        <f t="shared" si="14"/>
        <v>0</v>
      </c>
      <c r="AQ17" s="145">
        <f t="shared" si="11"/>
        <v>0</v>
      </c>
    </row>
    <row r="18" spans="1:43" x14ac:dyDescent="0.25">
      <c r="A18" s="156">
        <v>11</v>
      </c>
      <c r="B18" s="157" t="s">
        <v>14</v>
      </c>
      <c r="C18" s="264">
        <v>255</v>
      </c>
      <c r="D18" s="260">
        <v>4.3</v>
      </c>
      <c r="E18" s="260"/>
      <c r="F18" s="87">
        <f t="shared" si="0"/>
        <v>259.3</v>
      </c>
      <c r="G18" s="264">
        <v>59.7</v>
      </c>
      <c r="H18" s="260">
        <v>0.9</v>
      </c>
      <c r="I18" s="260"/>
      <c r="J18" s="87">
        <f t="shared" si="1"/>
        <v>60.6</v>
      </c>
      <c r="K18" s="264">
        <v>1.4</v>
      </c>
      <c r="L18" s="260">
        <v>2.8</v>
      </c>
      <c r="M18" s="260"/>
      <c r="N18" s="87">
        <f t="shared" si="2"/>
        <v>4.1999999999999993</v>
      </c>
      <c r="O18" s="264">
        <f>[6]Maret!O18+[3]Maret!X16</f>
        <v>415.2</v>
      </c>
      <c r="P18" s="260">
        <v>0.9</v>
      </c>
      <c r="Q18" s="260"/>
      <c r="R18" s="87">
        <f t="shared" si="3"/>
        <v>416.09999999999997</v>
      </c>
      <c r="S18" s="264">
        <f>5+60</f>
        <v>65</v>
      </c>
      <c r="T18" s="260">
        <v>1</v>
      </c>
      <c r="U18" s="260"/>
      <c r="V18" s="87">
        <f t="shared" si="4"/>
        <v>66</v>
      </c>
      <c r="W18" s="264">
        <f>[6]Maret!W18+[3]Maret!AS16</f>
        <v>25</v>
      </c>
      <c r="X18" s="260">
        <v>5</v>
      </c>
      <c r="Y18" s="260"/>
      <c r="Z18" s="87">
        <f t="shared" si="5"/>
        <v>30</v>
      </c>
      <c r="AA18" s="94">
        <f t="shared" si="12"/>
        <v>836.2</v>
      </c>
      <c r="AB18" s="96" t="s">
        <v>53</v>
      </c>
      <c r="AC18" s="138"/>
      <c r="AD18" s="146">
        <v>11</v>
      </c>
      <c r="AE18" s="147" t="s">
        <v>14</v>
      </c>
      <c r="AF18" s="141">
        <f t="shared" ref="AF18:AG38" si="15">(C18+G18+K18+O18+S18+W18)</f>
        <v>821.3</v>
      </c>
      <c r="AG18" s="141">
        <f t="shared" si="15"/>
        <v>14.9</v>
      </c>
      <c r="AH18" s="141">
        <f t="shared" ref="AH18:AH38" si="16">(E18+I18+M18+Q18++U18+Y18)</f>
        <v>0</v>
      </c>
      <c r="AI18" s="108"/>
      <c r="AJ18" s="148">
        <v>11</v>
      </c>
      <c r="AK18" s="149" t="s">
        <v>14</v>
      </c>
      <c r="AL18" s="144">
        <f t="shared" si="8"/>
        <v>821.3</v>
      </c>
      <c r="AM18" s="145">
        <f t="shared" si="9"/>
        <v>0.98218129634058826</v>
      </c>
      <c r="AN18" s="144">
        <f t="shared" si="13"/>
        <v>14.9</v>
      </c>
      <c r="AO18" s="145">
        <f t="shared" si="10"/>
        <v>1.7818703659411624E-2</v>
      </c>
      <c r="AP18" s="144">
        <f t="shared" si="14"/>
        <v>0</v>
      </c>
      <c r="AQ18" s="145">
        <f t="shared" si="11"/>
        <v>0</v>
      </c>
    </row>
    <row r="19" spans="1:43" x14ac:dyDescent="0.25">
      <c r="A19" s="156">
        <v>12</v>
      </c>
      <c r="B19" s="157" t="s">
        <v>15</v>
      </c>
      <c r="C19" s="264">
        <v>205</v>
      </c>
      <c r="D19" s="260">
        <v>1.7</v>
      </c>
      <c r="E19" s="260"/>
      <c r="F19" s="87">
        <f t="shared" si="0"/>
        <v>206.7</v>
      </c>
      <c r="G19" s="264">
        <v>60.4</v>
      </c>
      <c r="H19" s="260">
        <f>1.3+1</f>
        <v>2.2999999999999998</v>
      </c>
      <c r="I19" s="260"/>
      <c r="J19" s="87">
        <f t="shared" si="1"/>
        <v>62.699999999999996</v>
      </c>
      <c r="K19" s="264">
        <v>1.7</v>
      </c>
      <c r="L19" s="260">
        <v>2.5</v>
      </c>
      <c r="M19" s="260"/>
      <c r="N19" s="87">
        <f t="shared" si="2"/>
        <v>4.2</v>
      </c>
      <c r="O19" s="264">
        <f>[6]Maret!O19+[3]Maret!X17</f>
        <v>314.89999999999998</v>
      </c>
      <c r="P19" s="260">
        <f>1.3+2</f>
        <v>3.3</v>
      </c>
      <c r="Q19" s="260"/>
      <c r="R19" s="87">
        <f t="shared" si="3"/>
        <v>318.2</v>
      </c>
      <c r="S19" s="264">
        <f>5+50</f>
        <v>55</v>
      </c>
      <c r="T19" s="260">
        <v>1</v>
      </c>
      <c r="U19" s="260"/>
      <c r="V19" s="87">
        <f t="shared" si="4"/>
        <v>56</v>
      </c>
      <c r="W19" s="264">
        <f>[6]Maret!W19+[3]Maret!AS17</f>
        <v>25</v>
      </c>
      <c r="X19" s="260">
        <f>5+2</f>
        <v>7</v>
      </c>
      <c r="Y19" s="260"/>
      <c r="Z19" s="87">
        <f t="shared" si="5"/>
        <v>32</v>
      </c>
      <c r="AA19" s="94">
        <f t="shared" si="12"/>
        <v>679.8</v>
      </c>
      <c r="AB19" s="96" t="s">
        <v>53</v>
      </c>
      <c r="AC19" s="138"/>
      <c r="AD19" s="146">
        <v>12</v>
      </c>
      <c r="AE19" s="147" t="s">
        <v>15</v>
      </c>
      <c r="AF19" s="141">
        <f t="shared" si="15"/>
        <v>662</v>
      </c>
      <c r="AG19" s="141">
        <f t="shared" si="15"/>
        <v>17.8</v>
      </c>
      <c r="AH19" s="141">
        <f t="shared" si="16"/>
        <v>0</v>
      </c>
      <c r="AI19" s="108"/>
      <c r="AJ19" s="148">
        <v>12</v>
      </c>
      <c r="AK19" s="149" t="s">
        <v>15</v>
      </c>
      <c r="AL19" s="144">
        <f t="shared" si="8"/>
        <v>662</v>
      </c>
      <c r="AM19" s="145">
        <f t="shared" si="9"/>
        <v>0.97381582818476031</v>
      </c>
      <c r="AN19" s="144">
        <f t="shared" si="13"/>
        <v>17.8</v>
      </c>
      <c r="AO19" s="145">
        <f t="shared" si="10"/>
        <v>2.6184171815239778E-2</v>
      </c>
      <c r="AP19" s="144">
        <f t="shared" si="14"/>
        <v>0</v>
      </c>
      <c r="AQ19" s="145">
        <f t="shared" si="11"/>
        <v>0</v>
      </c>
    </row>
    <row r="20" spans="1:43" x14ac:dyDescent="0.25">
      <c r="A20" s="156">
        <v>13</v>
      </c>
      <c r="B20" s="157" t="s">
        <v>16</v>
      </c>
      <c r="C20" s="264">
        <v>205</v>
      </c>
      <c r="D20" s="260">
        <f>3.8+1</f>
        <v>4.8</v>
      </c>
      <c r="E20" s="260"/>
      <c r="F20" s="87">
        <f t="shared" si="0"/>
        <v>209.8</v>
      </c>
      <c r="G20" s="264">
        <v>109.9</v>
      </c>
      <c r="H20" s="260">
        <f>3.1+1</f>
        <v>4.0999999999999996</v>
      </c>
      <c r="I20" s="260"/>
      <c r="J20" s="87">
        <f t="shared" si="1"/>
        <v>114</v>
      </c>
      <c r="K20" s="264">
        <v>1.8</v>
      </c>
      <c r="L20" s="260">
        <v>2</v>
      </c>
      <c r="M20" s="260"/>
      <c r="N20" s="87">
        <f t="shared" si="2"/>
        <v>3.8</v>
      </c>
      <c r="O20" s="264">
        <f>[6]Maret!O20+[3]Maret!X18</f>
        <v>313.8</v>
      </c>
      <c r="P20" s="260">
        <f>2.5+2</f>
        <v>4.5</v>
      </c>
      <c r="Q20" s="260"/>
      <c r="R20" s="87">
        <f t="shared" si="3"/>
        <v>318.3</v>
      </c>
      <c r="S20" s="264">
        <f>5+60</f>
        <v>65</v>
      </c>
      <c r="T20" s="260">
        <v>1</v>
      </c>
      <c r="U20" s="260"/>
      <c r="V20" s="87">
        <f t="shared" si="4"/>
        <v>66</v>
      </c>
      <c r="W20" s="264">
        <f>[6]Maret!W20+[3]Maret!AS18</f>
        <v>25</v>
      </c>
      <c r="X20" s="260">
        <v>5</v>
      </c>
      <c r="Y20" s="260"/>
      <c r="Z20" s="87">
        <f t="shared" si="5"/>
        <v>30</v>
      </c>
      <c r="AA20" s="94">
        <f t="shared" si="12"/>
        <v>741.90000000000009</v>
      </c>
      <c r="AB20" s="96" t="s">
        <v>53</v>
      </c>
      <c r="AC20" s="138"/>
      <c r="AD20" s="146">
        <v>13</v>
      </c>
      <c r="AE20" s="147" t="s">
        <v>16</v>
      </c>
      <c r="AF20" s="141">
        <f t="shared" si="15"/>
        <v>720.5</v>
      </c>
      <c r="AG20" s="141">
        <f t="shared" si="15"/>
        <v>21.4</v>
      </c>
      <c r="AH20" s="141">
        <f t="shared" si="16"/>
        <v>0</v>
      </c>
      <c r="AI20" s="108"/>
      <c r="AJ20" s="148">
        <v>13</v>
      </c>
      <c r="AK20" s="149" t="s">
        <v>16</v>
      </c>
      <c r="AL20" s="144">
        <f t="shared" si="8"/>
        <v>720.5</v>
      </c>
      <c r="AM20" s="145">
        <f t="shared" si="9"/>
        <v>0.97115514220245303</v>
      </c>
      <c r="AN20" s="144">
        <f t="shared" si="13"/>
        <v>21.4</v>
      </c>
      <c r="AO20" s="145">
        <f t="shared" si="10"/>
        <v>2.8844857797546832E-2</v>
      </c>
      <c r="AP20" s="144">
        <f t="shared" si="14"/>
        <v>0</v>
      </c>
      <c r="AQ20" s="145">
        <f t="shared" si="11"/>
        <v>0</v>
      </c>
    </row>
    <row r="21" spans="1:43" x14ac:dyDescent="0.25">
      <c r="A21" s="156">
        <v>14</v>
      </c>
      <c r="B21" s="157" t="s">
        <v>17</v>
      </c>
      <c r="C21" s="264">
        <v>305</v>
      </c>
      <c r="D21" s="260">
        <v>2.64</v>
      </c>
      <c r="E21" s="260"/>
      <c r="F21" s="87">
        <f t="shared" si="0"/>
        <v>307.64</v>
      </c>
      <c r="G21" s="264">
        <v>109.7</v>
      </c>
      <c r="H21" s="260">
        <v>3</v>
      </c>
      <c r="I21" s="260"/>
      <c r="J21" s="87">
        <f t="shared" si="1"/>
        <v>112.7</v>
      </c>
      <c r="K21" s="264">
        <v>2.1</v>
      </c>
      <c r="L21" s="260">
        <v>1.4</v>
      </c>
      <c r="M21" s="260"/>
      <c r="N21" s="87">
        <f t="shared" si="2"/>
        <v>3.5</v>
      </c>
      <c r="O21" s="264">
        <f>[6]Maret!O21+[3]Maret!X19</f>
        <v>313.5</v>
      </c>
      <c r="P21" s="260">
        <v>5.4</v>
      </c>
      <c r="Q21" s="260"/>
      <c r="R21" s="87">
        <f t="shared" si="3"/>
        <v>318.89999999999998</v>
      </c>
      <c r="S21" s="264">
        <f>5+50</f>
        <v>55</v>
      </c>
      <c r="T21" s="260">
        <v>2</v>
      </c>
      <c r="U21" s="260"/>
      <c r="V21" s="87">
        <f t="shared" si="4"/>
        <v>57</v>
      </c>
      <c r="W21" s="264">
        <f>[6]Maret!W21+[3]Maret!AS19</f>
        <v>25</v>
      </c>
      <c r="X21" s="260">
        <v>5</v>
      </c>
      <c r="Y21" s="260"/>
      <c r="Z21" s="87">
        <f t="shared" si="5"/>
        <v>30</v>
      </c>
      <c r="AA21" s="94">
        <f t="shared" si="12"/>
        <v>829.74</v>
      </c>
      <c r="AB21" s="96" t="s">
        <v>53</v>
      </c>
      <c r="AC21" s="138"/>
      <c r="AD21" s="146">
        <v>14</v>
      </c>
      <c r="AE21" s="147" t="s">
        <v>17</v>
      </c>
      <c r="AF21" s="141">
        <f t="shared" si="15"/>
        <v>810.3</v>
      </c>
      <c r="AG21" s="141">
        <f t="shared" si="15"/>
        <v>19.440000000000001</v>
      </c>
      <c r="AH21" s="141">
        <f t="shared" si="16"/>
        <v>0</v>
      </c>
      <c r="AI21" s="108"/>
      <c r="AJ21" s="148">
        <v>14</v>
      </c>
      <c r="AK21" s="149" t="s">
        <v>17</v>
      </c>
      <c r="AL21" s="144">
        <f t="shared" si="8"/>
        <v>810.3</v>
      </c>
      <c r="AM21" s="145">
        <f t="shared" si="9"/>
        <v>0.97657097404006066</v>
      </c>
      <c r="AN21" s="144">
        <f t="shared" si="13"/>
        <v>19.440000000000001</v>
      </c>
      <c r="AO21" s="145">
        <f t="shared" si="10"/>
        <v>2.3429025959939259E-2</v>
      </c>
      <c r="AP21" s="144">
        <f t="shared" si="14"/>
        <v>0</v>
      </c>
      <c r="AQ21" s="145">
        <f t="shared" si="11"/>
        <v>0</v>
      </c>
    </row>
    <row r="22" spans="1:43" x14ac:dyDescent="0.25">
      <c r="A22" s="156">
        <v>15</v>
      </c>
      <c r="B22" s="157" t="s">
        <v>18</v>
      </c>
      <c r="C22" s="264">
        <v>5</v>
      </c>
      <c r="D22" s="260">
        <f>1+2</f>
        <v>3</v>
      </c>
      <c r="E22" s="260"/>
      <c r="F22" s="87">
        <f t="shared" si="0"/>
        <v>8</v>
      </c>
      <c r="G22" s="264">
        <v>6</v>
      </c>
      <c r="H22" s="260">
        <v>1</v>
      </c>
      <c r="I22" s="260"/>
      <c r="J22" s="87">
        <f t="shared" si="1"/>
        <v>7</v>
      </c>
      <c r="K22" s="264">
        <v>2.9</v>
      </c>
      <c r="L22" s="260">
        <v>3.6</v>
      </c>
      <c r="M22" s="260"/>
      <c r="N22" s="87">
        <f t="shared" si="2"/>
        <v>6.5</v>
      </c>
      <c r="O22" s="264">
        <f>[6]Maret!O22+[3]Maret!X20</f>
        <v>13.7</v>
      </c>
      <c r="P22" s="260">
        <f>1.1+1</f>
        <v>2.1</v>
      </c>
      <c r="Q22" s="260"/>
      <c r="R22" s="87">
        <f t="shared" si="3"/>
        <v>15.799999999999999</v>
      </c>
      <c r="S22" s="264">
        <v>5</v>
      </c>
      <c r="T22" s="260">
        <v>1</v>
      </c>
      <c r="U22" s="260"/>
      <c r="V22" s="87">
        <f t="shared" si="4"/>
        <v>6</v>
      </c>
      <c r="W22" s="264">
        <f>[6]Maret!W22+[3]Maret!AS20</f>
        <v>25</v>
      </c>
      <c r="X22" s="260">
        <v>5</v>
      </c>
      <c r="Y22" s="260"/>
      <c r="Z22" s="87">
        <f t="shared" si="5"/>
        <v>30</v>
      </c>
      <c r="AA22" s="94">
        <f t="shared" si="12"/>
        <v>73.3</v>
      </c>
      <c r="AB22" s="96" t="s">
        <v>53</v>
      </c>
      <c r="AC22" s="138"/>
      <c r="AD22" s="146">
        <v>15</v>
      </c>
      <c r="AE22" s="147" t="s">
        <v>18</v>
      </c>
      <c r="AF22" s="141">
        <f t="shared" si="15"/>
        <v>57.6</v>
      </c>
      <c r="AG22" s="141">
        <f t="shared" si="15"/>
        <v>15.7</v>
      </c>
      <c r="AH22" s="141">
        <f t="shared" si="16"/>
        <v>0</v>
      </c>
      <c r="AI22" s="108"/>
      <c r="AJ22" s="148">
        <v>15</v>
      </c>
      <c r="AK22" s="149" t="s">
        <v>18</v>
      </c>
      <c r="AL22" s="144">
        <f t="shared" si="8"/>
        <v>57.6</v>
      </c>
      <c r="AM22" s="145">
        <f t="shared" si="9"/>
        <v>0.7858117326057299</v>
      </c>
      <c r="AN22" s="144">
        <f t="shared" si="13"/>
        <v>15.7</v>
      </c>
      <c r="AO22" s="145">
        <f t="shared" si="10"/>
        <v>0.21418826739427013</v>
      </c>
      <c r="AP22" s="144">
        <f t="shared" si="14"/>
        <v>0</v>
      </c>
      <c r="AQ22" s="145">
        <f t="shared" si="11"/>
        <v>0</v>
      </c>
    </row>
    <row r="23" spans="1:43" x14ac:dyDescent="0.25">
      <c r="A23" s="156">
        <v>16</v>
      </c>
      <c r="B23" s="157" t="s">
        <v>19</v>
      </c>
      <c r="C23" s="264">
        <v>0</v>
      </c>
      <c r="D23" s="260"/>
      <c r="E23" s="260"/>
      <c r="F23" s="87">
        <f t="shared" si="0"/>
        <v>0</v>
      </c>
      <c r="G23" s="264">
        <v>0</v>
      </c>
      <c r="H23" s="260"/>
      <c r="I23" s="260"/>
      <c r="J23" s="87">
        <f t="shared" si="1"/>
        <v>0</v>
      </c>
      <c r="K23" s="264">
        <v>3.1</v>
      </c>
      <c r="L23" s="260">
        <v>2.9</v>
      </c>
      <c r="M23" s="260"/>
      <c r="N23" s="87">
        <f t="shared" si="2"/>
        <v>6</v>
      </c>
      <c r="O23" s="264">
        <f>[6]Maret!O23+[3]Maret!X21</f>
        <v>4.0999999999999996</v>
      </c>
      <c r="P23" s="260">
        <v>1.7</v>
      </c>
      <c r="Q23" s="260"/>
      <c r="R23" s="87">
        <f t="shared" si="3"/>
        <v>5.8</v>
      </c>
      <c r="S23" s="264"/>
      <c r="T23" s="260">
        <v>2</v>
      </c>
      <c r="U23" s="260"/>
      <c r="V23" s="87">
        <f t="shared" si="4"/>
        <v>2</v>
      </c>
      <c r="W23" s="264">
        <f>[6]Maret!W23+[3]Maret!AS21</f>
        <v>0</v>
      </c>
      <c r="X23" s="260">
        <v>2</v>
      </c>
      <c r="Y23" s="260"/>
      <c r="Z23" s="87">
        <f t="shared" si="5"/>
        <v>2</v>
      </c>
      <c r="AA23" s="94">
        <f t="shared" si="12"/>
        <v>15.8</v>
      </c>
      <c r="AB23" s="96" t="s">
        <v>53</v>
      </c>
      <c r="AC23" s="138"/>
      <c r="AD23" s="146">
        <v>16</v>
      </c>
      <c r="AE23" s="147" t="s">
        <v>19</v>
      </c>
      <c r="AF23" s="141">
        <f t="shared" si="15"/>
        <v>7.1999999999999993</v>
      </c>
      <c r="AG23" s="141">
        <f t="shared" si="15"/>
        <v>8.6</v>
      </c>
      <c r="AH23" s="141">
        <f t="shared" si="16"/>
        <v>0</v>
      </c>
      <c r="AI23" s="108"/>
      <c r="AJ23" s="148">
        <v>16</v>
      </c>
      <c r="AK23" s="149" t="s">
        <v>19</v>
      </c>
      <c r="AL23" s="144">
        <f t="shared" si="8"/>
        <v>7.1999999999999993</v>
      </c>
      <c r="AM23" s="145">
        <f t="shared" si="9"/>
        <v>0.4556962025316455</v>
      </c>
      <c r="AN23" s="144">
        <f t="shared" si="13"/>
        <v>8.6</v>
      </c>
      <c r="AO23" s="145">
        <f t="shared" si="10"/>
        <v>0.54430379746835433</v>
      </c>
      <c r="AP23" s="144">
        <f t="shared" si="14"/>
        <v>0</v>
      </c>
      <c r="AQ23" s="145">
        <f t="shared" si="11"/>
        <v>0</v>
      </c>
    </row>
    <row r="24" spans="1:43" x14ac:dyDescent="0.25">
      <c r="A24" s="156">
        <v>17</v>
      </c>
      <c r="B24" s="157" t="s">
        <v>20</v>
      </c>
      <c r="C24" s="264">
        <v>205</v>
      </c>
      <c r="D24" s="260">
        <f>6.55+1</f>
        <v>7.55</v>
      </c>
      <c r="E24" s="260"/>
      <c r="F24" s="87">
        <f t="shared" si="0"/>
        <v>212.55</v>
      </c>
      <c r="G24" s="264">
        <v>111.1</v>
      </c>
      <c r="H24" s="260">
        <f>2+1</f>
        <v>3</v>
      </c>
      <c r="I24" s="260"/>
      <c r="J24" s="87">
        <f t="shared" si="1"/>
        <v>114.1</v>
      </c>
      <c r="K24" s="264">
        <v>2.5</v>
      </c>
      <c r="L24" s="260">
        <v>2.4</v>
      </c>
      <c r="M24" s="260"/>
      <c r="N24" s="87">
        <f t="shared" si="2"/>
        <v>4.9000000000000004</v>
      </c>
      <c r="O24" s="264">
        <f>[6]Maret!O24+[3]Maret!X22</f>
        <v>314.3</v>
      </c>
      <c r="P24" s="260">
        <v>2.5</v>
      </c>
      <c r="Q24" s="260"/>
      <c r="R24" s="87">
        <f t="shared" si="3"/>
        <v>316.8</v>
      </c>
      <c r="S24" s="264">
        <f>5+50</f>
        <v>55</v>
      </c>
      <c r="T24" s="260"/>
      <c r="U24" s="260"/>
      <c r="V24" s="87">
        <f t="shared" si="4"/>
        <v>55</v>
      </c>
      <c r="W24" s="264">
        <f>[6]Maret!W24+[3]Maret!AS22</f>
        <v>25</v>
      </c>
      <c r="X24" s="260">
        <v>5</v>
      </c>
      <c r="Y24" s="260"/>
      <c r="Z24" s="87">
        <f t="shared" si="5"/>
        <v>30</v>
      </c>
      <c r="AA24" s="94">
        <f t="shared" si="12"/>
        <v>733.34999999999991</v>
      </c>
      <c r="AB24" s="96" t="s">
        <v>53</v>
      </c>
      <c r="AC24" s="138"/>
      <c r="AD24" s="146">
        <v>17</v>
      </c>
      <c r="AE24" s="147" t="s">
        <v>20</v>
      </c>
      <c r="AF24" s="141">
        <f t="shared" si="15"/>
        <v>712.90000000000009</v>
      </c>
      <c r="AG24" s="141">
        <f t="shared" si="15"/>
        <v>20.450000000000003</v>
      </c>
      <c r="AH24" s="141">
        <f t="shared" si="16"/>
        <v>0</v>
      </c>
      <c r="AI24" s="108"/>
      <c r="AJ24" s="148">
        <v>17</v>
      </c>
      <c r="AK24" s="149" t="s">
        <v>20</v>
      </c>
      <c r="AL24" s="144">
        <f t="shared" si="8"/>
        <v>712.90000000000009</v>
      </c>
      <c r="AM24" s="145">
        <f t="shared" si="9"/>
        <v>0.97211427013022456</v>
      </c>
      <c r="AN24" s="144">
        <f t="shared" si="13"/>
        <v>20.450000000000003</v>
      </c>
      <c r="AO24" s="145">
        <f t="shared" si="10"/>
        <v>2.7885729869775694E-2</v>
      </c>
      <c r="AP24" s="144">
        <f t="shared" si="14"/>
        <v>0</v>
      </c>
      <c r="AQ24" s="145">
        <f t="shared" si="11"/>
        <v>0</v>
      </c>
    </row>
    <row r="25" spans="1:43" x14ac:dyDescent="0.25">
      <c r="A25" s="156">
        <v>18</v>
      </c>
      <c r="B25" s="157" t="s">
        <v>21</v>
      </c>
      <c r="C25" s="264">
        <v>205</v>
      </c>
      <c r="D25" s="260">
        <v>2.4</v>
      </c>
      <c r="E25" s="260"/>
      <c r="F25" s="87">
        <f t="shared" si="0"/>
        <v>207.4</v>
      </c>
      <c r="G25" s="264">
        <v>60.7</v>
      </c>
      <c r="H25" s="260">
        <f>3.7+1</f>
        <v>4.7</v>
      </c>
      <c r="I25" s="260"/>
      <c r="J25" s="87">
        <f t="shared" si="1"/>
        <v>65.400000000000006</v>
      </c>
      <c r="K25" s="264">
        <v>2.4</v>
      </c>
      <c r="L25" s="260">
        <v>6.3</v>
      </c>
      <c r="M25" s="260"/>
      <c r="N25" s="87">
        <f t="shared" si="2"/>
        <v>8.6999999999999993</v>
      </c>
      <c r="O25" s="264">
        <f>[6]Maret!O25+[3]Maret!X23</f>
        <v>313.5</v>
      </c>
      <c r="P25" s="260">
        <f>2.1+1</f>
        <v>3.1</v>
      </c>
      <c r="Q25" s="260"/>
      <c r="R25" s="87">
        <f t="shared" si="3"/>
        <v>316.60000000000002</v>
      </c>
      <c r="S25" s="264">
        <f>5+50</f>
        <v>55</v>
      </c>
      <c r="T25" s="260">
        <v>2</v>
      </c>
      <c r="U25" s="260"/>
      <c r="V25" s="87">
        <f t="shared" si="4"/>
        <v>57</v>
      </c>
      <c r="W25" s="264">
        <f>[6]Maret!W25+[3]Maret!AS23</f>
        <v>30</v>
      </c>
      <c r="X25" s="260">
        <f>5+1</f>
        <v>6</v>
      </c>
      <c r="Y25" s="260"/>
      <c r="Z25" s="87">
        <f t="shared" si="5"/>
        <v>36</v>
      </c>
      <c r="AA25" s="94">
        <f t="shared" si="12"/>
        <v>691.1</v>
      </c>
      <c r="AB25" s="96" t="s">
        <v>53</v>
      </c>
      <c r="AC25" s="138"/>
      <c r="AD25" s="146">
        <v>18</v>
      </c>
      <c r="AE25" s="147" t="s">
        <v>21</v>
      </c>
      <c r="AF25" s="141">
        <f t="shared" si="15"/>
        <v>666.59999999999991</v>
      </c>
      <c r="AG25" s="141">
        <f t="shared" si="15"/>
        <v>24.5</v>
      </c>
      <c r="AH25" s="141">
        <f t="shared" si="16"/>
        <v>0</v>
      </c>
      <c r="AI25" s="108"/>
      <c r="AJ25" s="148">
        <v>18</v>
      </c>
      <c r="AK25" s="149" t="s">
        <v>21</v>
      </c>
      <c r="AL25" s="144">
        <f t="shared" si="8"/>
        <v>666.59999999999991</v>
      </c>
      <c r="AM25" s="145">
        <f t="shared" si="9"/>
        <v>0.96454926928085649</v>
      </c>
      <c r="AN25" s="144">
        <f t="shared" si="13"/>
        <v>24.5</v>
      </c>
      <c r="AO25" s="145">
        <f t="shared" si="10"/>
        <v>3.545073071914339E-2</v>
      </c>
      <c r="AP25" s="144">
        <f t="shared" si="14"/>
        <v>0</v>
      </c>
      <c r="AQ25" s="145">
        <f t="shared" si="11"/>
        <v>0</v>
      </c>
    </row>
    <row r="26" spans="1:43" x14ac:dyDescent="0.25">
      <c r="A26" s="156">
        <v>19</v>
      </c>
      <c r="B26" s="157" t="s">
        <v>22</v>
      </c>
      <c r="C26" s="264">
        <v>300</v>
      </c>
      <c r="D26" s="260">
        <v>0.8</v>
      </c>
      <c r="E26" s="260"/>
      <c r="F26" s="87">
        <f t="shared" si="0"/>
        <v>300.8</v>
      </c>
      <c r="G26" s="264">
        <v>55.8</v>
      </c>
      <c r="H26" s="260">
        <v>1.1000000000000001</v>
      </c>
      <c r="I26" s="260"/>
      <c r="J26" s="87">
        <f t="shared" si="1"/>
        <v>56.9</v>
      </c>
      <c r="K26" s="264">
        <v>3.5</v>
      </c>
      <c r="L26" s="260">
        <v>3.4</v>
      </c>
      <c r="M26" s="260"/>
      <c r="N26" s="87">
        <f t="shared" si="2"/>
        <v>6.9</v>
      </c>
      <c r="O26" s="264">
        <f>[6]Maret!O26+[3]Maret!X24</f>
        <v>403.3</v>
      </c>
      <c r="P26" s="260">
        <v>3.3</v>
      </c>
      <c r="Q26" s="260"/>
      <c r="R26" s="87">
        <f t="shared" si="3"/>
        <v>406.6</v>
      </c>
      <c r="S26" s="264">
        <v>70</v>
      </c>
      <c r="T26" s="260"/>
      <c r="U26" s="260"/>
      <c r="V26" s="87">
        <f t="shared" si="4"/>
        <v>70</v>
      </c>
      <c r="W26" s="264">
        <f>[6]Maret!W26+[3]Maret!AS24</f>
        <v>5</v>
      </c>
      <c r="X26" s="260"/>
      <c r="Y26" s="260"/>
      <c r="Z26" s="87">
        <f t="shared" si="5"/>
        <v>5</v>
      </c>
      <c r="AA26" s="94">
        <f t="shared" si="12"/>
        <v>846.2</v>
      </c>
      <c r="AB26" s="96" t="s">
        <v>53</v>
      </c>
      <c r="AC26" s="138"/>
      <c r="AD26" s="146">
        <v>19</v>
      </c>
      <c r="AE26" s="147" t="s">
        <v>22</v>
      </c>
      <c r="AF26" s="141">
        <f t="shared" si="15"/>
        <v>837.6</v>
      </c>
      <c r="AG26" s="141">
        <f t="shared" si="15"/>
        <v>8.6</v>
      </c>
      <c r="AH26" s="141">
        <f t="shared" si="16"/>
        <v>0</v>
      </c>
      <c r="AI26" s="108"/>
      <c r="AJ26" s="148">
        <v>19</v>
      </c>
      <c r="AK26" s="149" t="s">
        <v>22</v>
      </c>
      <c r="AL26" s="144">
        <f t="shared" si="8"/>
        <v>837.6</v>
      </c>
      <c r="AM26" s="145">
        <f t="shared" si="9"/>
        <v>0.98983691798629159</v>
      </c>
      <c r="AN26" s="144">
        <f t="shared" si="13"/>
        <v>8.6</v>
      </c>
      <c r="AO26" s="145">
        <f t="shared" si="10"/>
        <v>1.0163082013708342E-2</v>
      </c>
      <c r="AP26" s="144">
        <f t="shared" si="14"/>
        <v>0</v>
      </c>
      <c r="AQ26" s="145">
        <f t="shared" si="11"/>
        <v>0</v>
      </c>
    </row>
    <row r="27" spans="1:43" x14ac:dyDescent="0.25">
      <c r="A27" s="156">
        <v>20</v>
      </c>
      <c r="B27" s="157" t="s">
        <v>23</v>
      </c>
      <c r="C27" s="264">
        <v>255</v>
      </c>
      <c r="D27" s="260">
        <f>2.9+1</f>
        <v>3.9</v>
      </c>
      <c r="E27" s="260"/>
      <c r="F27" s="87">
        <f t="shared" si="0"/>
        <v>258.89999999999998</v>
      </c>
      <c r="G27" s="264">
        <v>59.1</v>
      </c>
      <c r="H27" s="260">
        <f>3.2+1</f>
        <v>4.2</v>
      </c>
      <c r="I27" s="260"/>
      <c r="J27" s="87">
        <f t="shared" si="1"/>
        <v>63.300000000000004</v>
      </c>
      <c r="K27" s="264">
        <v>3.1</v>
      </c>
      <c r="L27" s="260">
        <v>6.5</v>
      </c>
      <c r="M27" s="260"/>
      <c r="N27" s="87">
        <f t="shared" si="2"/>
        <v>9.6</v>
      </c>
      <c r="O27" s="264">
        <f>[6]Maret!O27+[3]Maret!X25</f>
        <v>312.89999999999998</v>
      </c>
      <c r="P27" s="260">
        <f>3.9+1</f>
        <v>4.9000000000000004</v>
      </c>
      <c r="Q27" s="260"/>
      <c r="R27" s="87">
        <f t="shared" si="3"/>
        <v>317.79999999999995</v>
      </c>
      <c r="S27" s="264">
        <f>5+50</f>
        <v>55</v>
      </c>
      <c r="T27" s="260">
        <v>2</v>
      </c>
      <c r="U27" s="260"/>
      <c r="V27" s="87">
        <f t="shared" si="4"/>
        <v>57</v>
      </c>
      <c r="W27" s="264">
        <f>[6]Maret!W27+[3]Maret!AS25</f>
        <v>25</v>
      </c>
      <c r="X27" s="260">
        <f>5+2</f>
        <v>7</v>
      </c>
      <c r="Y27" s="260"/>
      <c r="Z27" s="87">
        <f t="shared" si="5"/>
        <v>32</v>
      </c>
      <c r="AA27" s="94">
        <f t="shared" si="12"/>
        <v>738.59999999999991</v>
      </c>
      <c r="AB27" s="96" t="s">
        <v>53</v>
      </c>
      <c r="AC27" s="138"/>
      <c r="AD27" s="146">
        <v>20</v>
      </c>
      <c r="AE27" s="147" t="s">
        <v>23</v>
      </c>
      <c r="AF27" s="141">
        <f t="shared" si="15"/>
        <v>710.1</v>
      </c>
      <c r="AG27" s="141">
        <f t="shared" si="15"/>
        <v>28.5</v>
      </c>
      <c r="AH27" s="141">
        <f t="shared" si="16"/>
        <v>0</v>
      </c>
      <c r="AI27" s="108"/>
      <c r="AJ27" s="148">
        <v>20</v>
      </c>
      <c r="AK27" s="149" t="s">
        <v>23</v>
      </c>
      <c r="AL27" s="144">
        <f t="shared" si="8"/>
        <v>710.1</v>
      </c>
      <c r="AM27" s="145">
        <f t="shared" si="9"/>
        <v>0.96141348497156798</v>
      </c>
      <c r="AN27" s="144">
        <f t="shared" si="13"/>
        <v>28.5</v>
      </c>
      <c r="AO27" s="145">
        <f t="shared" si="10"/>
        <v>3.8586515028432175E-2</v>
      </c>
      <c r="AP27" s="144">
        <f t="shared" si="14"/>
        <v>0</v>
      </c>
      <c r="AQ27" s="145">
        <f t="shared" si="11"/>
        <v>0</v>
      </c>
    </row>
    <row r="28" spans="1:43" x14ac:dyDescent="0.25">
      <c r="A28" s="156">
        <v>21</v>
      </c>
      <c r="B28" s="157" t="s">
        <v>24</v>
      </c>
      <c r="C28" s="264">
        <v>255</v>
      </c>
      <c r="D28" s="260">
        <v>3.1</v>
      </c>
      <c r="E28" s="260"/>
      <c r="F28" s="87">
        <f t="shared" si="0"/>
        <v>258.10000000000002</v>
      </c>
      <c r="G28" s="264">
        <v>110.5</v>
      </c>
      <c r="H28" s="260">
        <v>1.4</v>
      </c>
      <c r="I28" s="260"/>
      <c r="J28" s="87">
        <f t="shared" si="1"/>
        <v>111.9</v>
      </c>
      <c r="K28" s="264">
        <v>2.9</v>
      </c>
      <c r="L28" s="260">
        <v>5</v>
      </c>
      <c r="M28" s="260"/>
      <c r="N28" s="87">
        <f t="shared" si="2"/>
        <v>7.9</v>
      </c>
      <c r="O28" s="264">
        <f>[6]Maret!O28+[3]Maret!X26</f>
        <v>314.7</v>
      </c>
      <c r="P28" s="260">
        <v>1.3</v>
      </c>
      <c r="Q28" s="260"/>
      <c r="R28" s="87">
        <f t="shared" si="3"/>
        <v>316</v>
      </c>
      <c r="S28" s="264">
        <f>5+60</f>
        <v>65</v>
      </c>
      <c r="T28" s="260"/>
      <c r="U28" s="260"/>
      <c r="V28" s="87">
        <f t="shared" si="4"/>
        <v>65</v>
      </c>
      <c r="W28" s="264">
        <f>[6]Maret!W28+[3]Maret!AS26</f>
        <v>25</v>
      </c>
      <c r="X28" s="260">
        <v>5</v>
      </c>
      <c r="Y28" s="260"/>
      <c r="Z28" s="87">
        <f t="shared" si="5"/>
        <v>30</v>
      </c>
      <c r="AA28" s="94">
        <f t="shared" si="12"/>
        <v>788.9</v>
      </c>
      <c r="AB28" s="96" t="s">
        <v>53</v>
      </c>
      <c r="AC28" s="138"/>
      <c r="AD28" s="146">
        <v>21</v>
      </c>
      <c r="AE28" s="147" t="s">
        <v>24</v>
      </c>
      <c r="AF28" s="141">
        <f t="shared" si="15"/>
        <v>773.09999999999991</v>
      </c>
      <c r="AG28" s="141">
        <f t="shared" si="15"/>
        <v>15.8</v>
      </c>
      <c r="AH28" s="141">
        <f t="shared" si="16"/>
        <v>0</v>
      </c>
      <c r="AI28" s="108"/>
      <c r="AJ28" s="148">
        <v>21</v>
      </c>
      <c r="AK28" s="149" t="s">
        <v>24</v>
      </c>
      <c r="AL28" s="144">
        <f t="shared" si="8"/>
        <v>773.09999999999991</v>
      </c>
      <c r="AM28" s="145">
        <f t="shared" si="9"/>
        <v>0.97997211306882992</v>
      </c>
      <c r="AN28" s="144">
        <f t="shared" si="13"/>
        <v>15.8</v>
      </c>
      <c r="AO28" s="145">
        <f t="shared" si="10"/>
        <v>2.0027886931169987E-2</v>
      </c>
      <c r="AP28" s="144">
        <f t="shared" si="14"/>
        <v>0</v>
      </c>
      <c r="AQ28" s="145">
        <f t="shared" si="11"/>
        <v>0</v>
      </c>
    </row>
    <row r="29" spans="1:43" x14ac:dyDescent="0.25">
      <c r="A29" s="156">
        <v>22</v>
      </c>
      <c r="B29" s="157" t="s">
        <v>25</v>
      </c>
      <c r="C29" s="264">
        <v>5</v>
      </c>
      <c r="D29" s="260">
        <v>1</v>
      </c>
      <c r="E29" s="260"/>
      <c r="F29" s="87">
        <f t="shared" si="0"/>
        <v>6</v>
      </c>
      <c r="G29" s="264">
        <v>6</v>
      </c>
      <c r="H29" s="260">
        <v>1</v>
      </c>
      <c r="I29" s="260"/>
      <c r="J29" s="87">
        <f t="shared" si="1"/>
        <v>7</v>
      </c>
      <c r="K29" s="264">
        <v>3.1</v>
      </c>
      <c r="L29" s="260">
        <v>3.8</v>
      </c>
      <c r="M29" s="260"/>
      <c r="N29" s="87">
        <f t="shared" si="2"/>
        <v>6.9</v>
      </c>
      <c r="O29" s="264">
        <f>[6]Maret!O29+[3]Maret!X27</f>
        <v>14.2</v>
      </c>
      <c r="P29" s="260">
        <f>1.1+1</f>
        <v>2.1</v>
      </c>
      <c r="Q29" s="260"/>
      <c r="R29" s="87">
        <f t="shared" si="3"/>
        <v>16.3</v>
      </c>
      <c r="S29" s="264">
        <v>5</v>
      </c>
      <c r="T29" s="260">
        <v>1</v>
      </c>
      <c r="U29" s="260"/>
      <c r="V29" s="87">
        <f t="shared" si="4"/>
        <v>6</v>
      </c>
      <c r="W29" s="264">
        <f>[6]Maret!W29+[3]Maret!AS27</f>
        <v>25</v>
      </c>
      <c r="X29" s="260">
        <v>5</v>
      </c>
      <c r="Y29" s="260"/>
      <c r="Z29" s="87">
        <f t="shared" si="5"/>
        <v>30</v>
      </c>
      <c r="AA29" s="94">
        <f t="shared" si="12"/>
        <v>72.2</v>
      </c>
      <c r="AB29" s="96" t="s">
        <v>53</v>
      </c>
      <c r="AC29" s="138"/>
      <c r="AD29" s="146">
        <v>22</v>
      </c>
      <c r="AE29" s="147" t="s">
        <v>25</v>
      </c>
      <c r="AF29" s="141">
        <f t="shared" si="15"/>
        <v>58.3</v>
      </c>
      <c r="AG29" s="141">
        <f t="shared" si="15"/>
        <v>13.9</v>
      </c>
      <c r="AH29" s="141">
        <f t="shared" si="16"/>
        <v>0</v>
      </c>
      <c r="AI29" s="108"/>
      <c r="AJ29" s="148">
        <v>22</v>
      </c>
      <c r="AK29" s="149" t="s">
        <v>25</v>
      </c>
      <c r="AL29" s="144">
        <f t="shared" si="8"/>
        <v>58.3</v>
      </c>
      <c r="AM29" s="145">
        <f t="shared" si="9"/>
        <v>0.80747922437673125</v>
      </c>
      <c r="AN29" s="144">
        <f t="shared" si="13"/>
        <v>13.9</v>
      </c>
      <c r="AO29" s="145">
        <f t="shared" si="10"/>
        <v>0.19252077562326869</v>
      </c>
      <c r="AP29" s="144">
        <f t="shared" si="14"/>
        <v>0</v>
      </c>
      <c r="AQ29" s="145">
        <f t="shared" si="11"/>
        <v>0</v>
      </c>
    </row>
    <row r="30" spans="1:43" x14ac:dyDescent="0.25">
      <c r="A30" s="156">
        <v>23</v>
      </c>
      <c r="B30" s="157" t="s">
        <v>26</v>
      </c>
      <c r="C30" s="264">
        <v>0</v>
      </c>
      <c r="D30" s="260">
        <v>1</v>
      </c>
      <c r="E30" s="260"/>
      <c r="F30" s="87">
        <f t="shared" si="0"/>
        <v>1</v>
      </c>
      <c r="G30" s="264">
        <v>0</v>
      </c>
      <c r="H30" s="260"/>
      <c r="I30" s="260"/>
      <c r="J30" s="87">
        <f t="shared" si="1"/>
        <v>0</v>
      </c>
      <c r="K30" s="264">
        <v>2.8</v>
      </c>
      <c r="L30" s="260">
        <v>4.4000000000000004</v>
      </c>
      <c r="M30" s="260"/>
      <c r="N30" s="87">
        <f t="shared" si="2"/>
        <v>7.2</v>
      </c>
      <c r="O30" s="264">
        <f>[6]Maret!O30+[3]Maret!X28</f>
        <v>5.6</v>
      </c>
      <c r="P30" s="260">
        <v>4.5</v>
      </c>
      <c r="Q30" s="260"/>
      <c r="R30" s="87">
        <f t="shared" si="3"/>
        <v>10.1</v>
      </c>
      <c r="S30" s="264"/>
      <c r="T30" s="260">
        <v>1</v>
      </c>
      <c r="U30" s="260"/>
      <c r="V30" s="87">
        <f t="shared" si="4"/>
        <v>1</v>
      </c>
      <c r="W30" s="264">
        <f>[6]Maret!W30+[3]Maret!AS28</f>
        <v>0</v>
      </c>
      <c r="X30" s="260"/>
      <c r="Y30" s="260"/>
      <c r="Z30" s="87">
        <f t="shared" si="5"/>
        <v>0</v>
      </c>
      <c r="AA30" s="94">
        <f t="shared" si="12"/>
        <v>19.299999999999997</v>
      </c>
      <c r="AB30" s="96" t="s">
        <v>53</v>
      </c>
      <c r="AC30" s="138"/>
      <c r="AD30" s="146">
        <v>23</v>
      </c>
      <c r="AE30" s="147" t="s">
        <v>26</v>
      </c>
      <c r="AF30" s="141">
        <f t="shared" si="15"/>
        <v>8.3999999999999986</v>
      </c>
      <c r="AG30" s="141">
        <f t="shared" si="15"/>
        <v>10.9</v>
      </c>
      <c r="AH30" s="141">
        <f t="shared" si="16"/>
        <v>0</v>
      </c>
      <c r="AI30" s="108"/>
      <c r="AJ30" s="148">
        <v>23</v>
      </c>
      <c r="AK30" s="149" t="s">
        <v>26</v>
      </c>
      <c r="AL30" s="144">
        <f t="shared" si="8"/>
        <v>8.3999999999999986</v>
      </c>
      <c r="AM30" s="145">
        <f t="shared" si="9"/>
        <v>0.43523316062176165</v>
      </c>
      <c r="AN30" s="144">
        <f t="shared" si="13"/>
        <v>10.9</v>
      </c>
      <c r="AO30" s="145">
        <f t="shared" si="10"/>
        <v>0.56476683937823846</v>
      </c>
      <c r="AP30" s="144">
        <f t="shared" si="14"/>
        <v>0</v>
      </c>
      <c r="AQ30" s="145">
        <f t="shared" si="11"/>
        <v>0</v>
      </c>
    </row>
    <row r="31" spans="1:43" x14ac:dyDescent="0.25">
      <c r="A31" s="156">
        <v>24</v>
      </c>
      <c r="B31" s="157" t="s">
        <v>27</v>
      </c>
      <c r="C31" s="264">
        <v>305</v>
      </c>
      <c r="D31" s="260">
        <v>2.5</v>
      </c>
      <c r="E31" s="260"/>
      <c r="F31" s="87">
        <f t="shared" si="0"/>
        <v>307.5</v>
      </c>
      <c r="G31" s="264">
        <v>59.7</v>
      </c>
      <c r="H31" s="260">
        <f>2.4+1</f>
        <v>3.4</v>
      </c>
      <c r="I31" s="260"/>
      <c r="J31" s="87">
        <f t="shared" si="1"/>
        <v>63.1</v>
      </c>
      <c r="K31" s="264">
        <v>2.9</v>
      </c>
      <c r="L31" s="260">
        <v>7</v>
      </c>
      <c r="M31" s="260"/>
      <c r="N31" s="87">
        <f t="shared" si="2"/>
        <v>9.9</v>
      </c>
      <c r="O31" s="264">
        <f>[6]Maret!O31+[3]Maret!X29</f>
        <v>464.2</v>
      </c>
      <c r="P31" s="260">
        <f>4.2+1</f>
        <v>5.2</v>
      </c>
      <c r="Q31" s="260"/>
      <c r="R31" s="87">
        <f t="shared" si="3"/>
        <v>469.4</v>
      </c>
      <c r="S31" s="264">
        <f>5+50</f>
        <v>55</v>
      </c>
      <c r="T31" s="260">
        <v>1</v>
      </c>
      <c r="U31" s="260"/>
      <c r="V31" s="87">
        <f t="shared" si="4"/>
        <v>56</v>
      </c>
      <c r="W31" s="264">
        <f>[6]Maret!W31+[3]Maret!AS29</f>
        <v>25</v>
      </c>
      <c r="X31" s="260">
        <f>5+1</f>
        <v>6</v>
      </c>
      <c r="Y31" s="260"/>
      <c r="Z31" s="87">
        <f t="shared" si="5"/>
        <v>31</v>
      </c>
      <c r="AA31" s="94">
        <f t="shared" si="12"/>
        <v>936.9</v>
      </c>
      <c r="AB31" s="96" t="s">
        <v>53</v>
      </c>
      <c r="AC31" s="138"/>
      <c r="AD31" s="146">
        <v>24</v>
      </c>
      <c r="AE31" s="147" t="s">
        <v>27</v>
      </c>
      <c r="AF31" s="141">
        <f t="shared" si="15"/>
        <v>911.8</v>
      </c>
      <c r="AG31" s="141">
        <f t="shared" si="15"/>
        <v>25.1</v>
      </c>
      <c r="AH31" s="141">
        <f t="shared" si="16"/>
        <v>0</v>
      </c>
      <c r="AI31" s="108"/>
      <c r="AJ31" s="148">
        <v>24</v>
      </c>
      <c r="AK31" s="149" t="s">
        <v>27</v>
      </c>
      <c r="AL31" s="144">
        <f t="shared" si="8"/>
        <v>911.8</v>
      </c>
      <c r="AM31" s="145">
        <f t="shared" si="9"/>
        <v>0.97320952075995304</v>
      </c>
      <c r="AN31" s="144">
        <f t="shared" si="13"/>
        <v>25.1</v>
      </c>
      <c r="AO31" s="145">
        <f t="shared" si="10"/>
        <v>2.6790479240046964E-2</v>
      </c>
      <c r="AP31" s="144">
        <f t="shared" si="14"/>
        <v>0</v>
      </c>
      <c r="AQ31" s="145">
        <f t="shared" si="11"/>
        <v>0</v>
      </c>
    </row>
    <row r="32" spans="1:43" x14ac:dyDescent="0.25">
      <c r="A32" s="156">
        <v>25</v>
      </c>
      <c r="B32" s="157" t="s">
        <v>28</v>
      </c>
      <c r="C32" s="264">
        <v>305</v>
      </c>
      <c r="D32" s="260">
        <f>6.9+1</f>
        <v>7.9</v>
      </c>
      <c r="E32" s="260"/>
      <c r="F32" s="87">
        <f t="shared" si="0"/>
        <v>312.89999999999998</v>
      </c>
      <c r="G32" s="264">
        <v>59.8</v>
      </c>
      <c r="H32" s="260">
        <f>0.8+1</f>
        <v>1.8</v>
      </c>
      <c r="I32" s="260"/>
      <c r="J32" s="87">
        <f t="shared" si="1"/>
        <v>61.599999999999994</v>
      </c>
      <c r="K32" s="264">
        <v>2.1</v>
      </c>
      <c r="L32" s="260">
        <v>4.7</v>
      </c>
      <c r="M32" s="260"/>
      <c r="N32" s="87">
        <f t="shared" si="2"/>
        <v>6.8000000000000007</v>
      </c>
      <c r="O32" s="264">
        <f>[6]Maret!O32+[3]Maret!X30</f>
        <v>365.1</v>
      </c>
      <c r="P32" s="260">
        <f>1.2+1</f>
        <v>2.2000000000000002</v>
      </c>
      <c r="Q32" s="260"/>
      <c r="R32" s="87">
        <f t="shared" si="3"/>
        <v>367.3</v>
      </c>
      <c r="S32" s="264">
        <f>5+60</f>
        <v>65</v>
      </c>
      <c r="T32" s="260">
        <v>1</v>
      </c>
      <c r="U32" s="260"/>
      <c r="V32" s="87">
        <f t="shared" si="4"/>
        <v>66</v>
      </c>
      <c r="W32" s="264">
        <f>[6]Maret!W32+[3]Maret!AS30</f>
        <v>30</v>
      </c>
      <c r="X32" s="260">
        <v>5</v>
      </c>
      <c r="Y32" s="260"/>
      <c r="Z32" s="87">
        <f t="shared" si="5"/>
        <v>35</v>
      </c>
      <c r="AA32" s="94">
        <f t="shared" si="12"/>
        <v>849.6</v>
      </c>
      <c r="AB32" s="96" t="s">
        <v>53</v>
      </c>
      <c r="AC32" s="138"/>
      <c r="AD32" s="146">
        <v>25</v>
      </c>
      <c r="AE32" s="147" t="s">
        <v>28</v>
      </c>
      <c r="AF32" s="141">
        <f t="shared" si="15"/>
        <v>827</v>
      </c>
      <c r="AG32" s="141">
        <f t="shared" si="15"/>
        <v>22.6</v>
      </c>
      <c r="AH32" s="141">
        <f t="shared" si="16"/>
        <v>0</v>
      </c>
      <c r="AI32" s="108"/>
      <c r="AJ32" s="148">
        <v>25</v>
      </c>
      <c r="AK32" s="149" t="s">
        <v>28</v>
      </c>
      <c r="AL32" s="144">
        <f t="shared" si="8"/>
        <v>827</v>
      </c>
      <c r="AM32" s="145">
        <f t="shared" si="9"/>
        <v>0.97339924670433142</v>
      </c>
      <c r="AN32" s="144">
        <f t="shared" si="13"/>
        <v>22.6</v>
      </c>
      <c r="AO32" s="145">
        <f t="shared" si="10"/>
        <v>2.660075329566855E-2</v>
      </c>
      <c r="AP32" s="144">
        <f t="shared" si="14"/>
        <v>0</v>
      </c>
      <c r="AQ32" s="145">
        <f t="shared" si="11"/>
        <v>0</v>
      </c>
    </row>
    <row r="33" spans="1:43" x14ac:dyDescent="0.25">
      <c r="A33" s="156">
        <v>26</v>
      </c>
      <c r="B33" s="157" t="s">
        <v>29</v>
      </c>
      <c r="C33" s="264">
        <v>255</v>
      </c>
      <c r="D33" s="260">
        <v>1.9</v>
      </c>
      <c r="E33" s="260"/>
      <c r="F33" s="87">
        <f t="shared" si="0"/>
        <v>256.89999999999998</v>
      </c>
      <c r="G33" s="264">
        <v>109.4</v>
      </c>
      <c r="H33" s="260">
        <v>1.1000000000000001</v>
      </c>
      <c r="I33" s="260"/>
      <c r="J33" s="87">
        <f t="shared" si="1"/>
        <v>110.5</v>
      </c>
      <c r="K33" s="264">
        <v>3.4</v>
      </c>
      <c r="L33" s="260">
        <v>4.5</v>
      </c>
      <c r="M33" s="260"/>
      <c r="N33" s="87">
        <f t="shared" si="2"/>
        <v>7.9</v>
      </c>
      <c r="O33" s="264">
        <f>[6]Maret!O33+[3]Maret!X31</f>
        <v>314.5</v>
      </c>
      <c r="P33" s="260">
        <v>1.1000000000000001</v>
      </c>
      <c r="Q33" s="260"/>
      <c r="R33" s="87">
        <f t="shared" si="3"/>
        <v>315.60000000000002</v>
      </c>
      <c r="S33" s="264">
        <f>5+60</f>
        <v>65</v>
      </c>
      <c r="T33" s="260">
        <v>1</v>
      </c>
      <c r="U33" s="260"/>
      <c r="V33" s="87">
        <f t="shared" si="4"/>
        <v>66</v>
      </c>
      <c r="W33" s="264">
        <f>[6]Maret!W33+[3]Maret!AS31</f>
        <v>25</v>
      </c>
      <c r="X33" s="260">
        <v>5</v>
      </c>
      <c r="Y33" s="260"/>
      <c r="Z33" s="87">
        <f t="shared" si="5"/>
        <v>30</v>
      </c>
      <c r="AA33" s="94">
        <f t="shared" si="12"/>
        <v>786.9</v>
      </c>
      <c r="AB33" s="96" t="s">
        <v>53</v>
      </c>
      <c r="AC33" s="138"/>
      <c r="AD33" s="146">
        <v>26</v>
      </c>
      <c r="AE33" s="147" t="s">
        <v>29</v>
      </c>
      <c r="AF33" s="141">
        <f t="shared" si="15"/>
        <v>772.3</v>
      </c>
      <c r="AG33" s="141">
        <f t="shared" si="15"/>
        <v>14.6</v>
      </c>
      <c r="AH33" s="141">
        <f t="shared" si="16"/>
        <v>0</v>
      </c>
      <c r="AI33" s="108"/>
      <c r="AJ33" s="148">
        <v>26</v>
      </c>
      <c r="AK33" s="149" t="s">
        <v>29</v>
      </c>
      <c r="AL33" s="144">
        <f t="shared" si="8"/>
        <v>772.3</v>
      </c>
      <c r="AM33" s="145">
        <f t="shared" si="9"/>
        <v>0.98144618121743543</v>
      </c>
      <c r="AN33" s="144">
        <f t="shared" si="13"/>
        <v>14.6</v>
      </c>
      <c r="AO33" s="145">
        <f t="shared" si="10"/>
        <v>1.8553818782564492E-2</v>
      </c>
      <c r="AP33" s="144">
        <f t="shared" si="14"/>
        <v>0</v>
      </c>
      <c r="AQ33" s="145">
        <f t="shared" si="11"/>
        <v>0</v>
      </c>
    </row>
    <row r="34" spans="1:43" x14ac:dyDescent="0.25">
      <c r="A34" s="156">
        <v>27</v>
      </c>
      <c r="B34" s="157" t="s">
        <v>30</v>
      </c>
      <c r="C34" s="264">
        <v>255</v>
      </c>
      <c r="D34" s="260">
        <f>1.8+1</f>
        <v>2.8</v>
      </c>
      <c r="E34" s="260"/>
      <c r="F34" s="87">
        <f t="shared" si="0"/>
        <v>257.8</v>
      </c>
      <c r="G34" s="264">
        <v>60.1</v>
      </c>
      <c r="H34" s="260">
        <f>0.8+1</f>
        <v>1.8</v>
      </c>
      <c r="I34" s="260"/>
      <c r="J34" s="87">
        <f t="shared" si="1"/>
        <v>61.9</v>
      </c>
      <c r="K34" s="264">
        <v>1.8</v>
      </c>
      <c r="L34" s="260">
        <v>7.7</v>
      </c>
      <c r="M34" s="260"/>
      <c r="N34" s="87">
        <f t="shared" si="2"/>
        <v>9.5</v>
      </c>
      <c r="O34" s="264">
        <f>[6]Maret!O34+[3]Maret!X32</f>
        <v>314.10000000000002</v>
      </c>
      <c r="P34" s="260">
        <f>3.3+2</f>
        <v>5.3</v>
      </c>
      <c r="Q34" s="260"/>
      <c r="R34" s="87">
        <f t="shared" si="3"/>
        <v>319.40000000000003</v>
      </c>
      <c r="S34" s="264">
        <f>5+50</f>
        <v>55</v>
      </c>
      <c r="T34" s="260">
        <v>3</v>
      </c>
      <c r="U34" s="260"/>
      <c r="V34" s="87">
        <f t="shared" si="4"/>
        <v>58</v>
      </c>
      <c r="W34" s="264">
        <f>[6]Maret!W34+[3]Maret!AS32</f>
        <v>25</v>
      </c>
      <c r="X34" s="260">
        <v>1</v>
      </c>
      <c r="Y34" s="260"/>
      <c r="Z34" s="87">
        <f t="shared" si="5"/>
        <v>26</v>
      </c>
      <c r="AA34" s="94">
        <f t="shared" si="12"/>
        <v>732.6</v>
      </c>
      <c r="AB34" s="96" t="s">
        <v>53</v>
      </c>
      <c r="AC34" s="138"/>
      <c r="AD34" s="146">
        <v>27</v>
      </c>
      <c r="AE34" s="147" t="s">
        <v>30</v>
      </c>
      <c r="AF34" s="141">
        <f t="shared" si="15"/>
        <v>711</v>
      </c>
      <c r="AG34" s="141">
        <f t="shared" si="15"/>
        <v>21.6</v>
      </c>
      <c r="AH34" s="141">
        <f t="shared" si="16"/>
        <v>0</v>
      </c>
      <c r="AI34" s="108"/>
      <c r="AJ34" s="148">
        <v>27</v>
      </c>
      <c r="AK34" s="149" t="s">
        <v>30</v>
      </c>
      <c r="AL34" s="144">
        <f t="shared" si="8"/>
        <v>711</v>
      </c>
      <c r="AM34" s="145">
        <f t="shared" si="9"/>
        <v>0.97051597051597049</v>
      </c>
      <c r="AN34" s="144">
        <f t="shared" si="13"/>
        <v>21.6</v>
      </c>
      <c r="AO34" s="145">
        <f t="shared" si="10"/>
        <v>2.9484029484029485E-2</v>
      </c>
      <c r="AP34" s="144">
        <f t="shared" si="14"/>
        <v>0</v>
      </c>
      <c r="AQ34" s="145">
        <f t="shared" si="11"/>
        <v>0</v>
      </c>
    </row>
    <row r="35" spans="1:43" ht="15" customHeight="1" x14ac:dyDescent="0.25">
      <c r="A35" s="156">
        <v>28</v>
      </c>
      <c r="B35" s="157" t="s">
        <v>31</v>
      </c>
      <c r="C35" s="264">
        <v>0</v>
      </c>
      <c r="D35" s="260"/>
      <c r="E35" s="260"/>
      <c r="F35" s="87">
        <f t="shared" si="0"/>
        <v>0</v>
      </c>
      <c r="G35" s="264">
        <v>0</v>
      </c>
      <c r="H35" s="260">
        <v>1</v>
      </c>
      <c r="I35" s="260"/>
      <c r="J35" s="87">
        <f t="shared" si="1"/>
        <v>1</v>
      </c>
      <c r="K35" s="264">
        <v>3.4</v>
      </c>
      <c r="L35" s="260">
        <v>5.6</v>
      </c>
      <c r="M35" s="260"/>
      <c r="N35" s="87">
        <f t="shared" si="2"/>
        <v>9</v>
      </c>
      <c r="O35" s="264">
        <f>[6]Maret!O35+[3]Maret!X33</f>
        <v>5.7</v>
      </c>
      <c r="P35" s="260">
        <f>1.5+1</f>
        <v>2.5</v>
      </c>
      <c r="Q35" s="260"/>
      <c r="R35" s="87">
        <f t="shared" si="3"/>
        <v>8.1999999999999993</v>
      </c>
      <c r="S35" s="264"/>
      <c r="T35" s="260">
        <v>1</v>
      </c>
      <c r="U35" s="260"/>
      <c r="V35" s="87">
        <f t="shared" si="4"/>
        <v>1</v>
      </c>
      <c r="W35" s="264">
        <f>[6]Maret!W35+[3]Maret!AS33</f>
        <v>0</v>
      </c>
      <c r="X35" s="260"/>
      <c r="Y35" s="260"/>
      <c r="Z35" s="87">
        <f t="shared" si="5"/>
        <v>0</v>
      </c>
      <c r="AA35" s="94">
        <f t="shared" si="12"/>
        <v>19.2</v>
      </c>
      <c r="AB35" s="96" t="s">
        <v>53</v>
      </c>
      <c r="AC35" s="138"/>
      <c r="AD35" s="146">
        <v>28</v>
      </c>
      <c r="AE35" s="147" t="s">
        <v>31</v>
      </c>
      <c r="AF35" s="141">
        <f t="shared" si="15"/>
        <v>9.1</v>
      </c>
      <c r="AG35" s="141">
        <f t="shared" si="15"/>
        <v>10.1</v>
      </c>
      <c r="AH35" s="141">
        <f t="shared" si="16"/>
        <v>0</v>
      </c>
      <c r="AI35" s="108"/>
      <c r="AJ35" s="148">
        <v>28</v>
      </c>
      <c r="AK35" s="149" t="s">
        <v>31</v>
      </c>
      <c r="AL35" s="144">
        <f t="shared" si="8"/>
        <v>9.1</v>
      </c>
      <c r="AM35" s="145">
        <f t="shared" si="9"/>
        <v>0.47395833333333331</v>
      </c>
      <c r="AN35" s="144">
        <f t="shared" si="13"/>
        <v>10.1</v>
      </c>
      <c r="AO35" s="145">
        <f t="shared" si="10"/>
        <v>0.52604166666666663</v>
      </c>
      <c r="AP35" s="144">
        <f t="shared" si="14"/>
        <v>0</v>
      </c>
      <c r="AQ35" s="145">
        <f t="shared" si="11"/>
        <v>0</v>
      </c>
    </row>
    <row r="36" spans="1:43" x14ac:dyDescent="0.25">
      <c r="A36" s="156">
        <v>29</v>
      </c>
      <c r="B36" s="157" t="s">
        <v>32</v>
      </c>
      <c r="C36" s="264">
        <v>0</v>
      </c>
      <c r="D36" s="260">
        <v>1</v>
      </c>
      <c r="E36" s="260"/>
      <c r="F36" s="87">
        <f t="shared" si="0"/>
        <v>1</v>
      </c>
      <c r="G36" s="264">
        <v>0</v>
      </c>
      <c r="H36" s="260"/>
      <c r="I36" s="260"/>
      <c r="J36" s="87">
        <f t="shared" si="1"/>
        <v>0</v>
      </c>
      <c r="K36" s="264"/>
      <c r="L36" s="260"/>
      <c r="M36" s="260"/>
      <c r="N36" s="87">
        <f t="shared" si="2"/>
        <v>0</v>
      </c>
      <c r="O36" s="264">
        <f>[6]Maret!O36+[3]Maret!X34</f>
        <v>0</v>
      </c>
      <c r="P36" s="260"/>
      <c r="Q36" s="260"/>
      <c r="R36" s="87">
        <f t="shared" si="3"/>
        <v>0</v>
      </c>
      <c r="S36" s="264"/>
      <c r="T36" s="260">
        <v>1</v>
      </c>
      <c r="U36" s="260"/>
      <c r="V36" s="87">
        <f t="shared" si="4"/>
        <v>1</v>
      </c>
      <c r="W36" s="264">
        <f>[6]Maret!W36+[3]Maret!AS34</f>
        <v>0</v>
      </c>
      <c r="X36" s="260">
        <v>1</v>
      </c>
      <c r="Y36" s="260"/>
      <c r="Z36" s="87">
        <f t="shared" si="5"/>
        <v>1</v>
      </c>
      <c r="AA36" s="94">
        <f t="shared" si="12"/>
        <v>3</v>
      </c>
      <c r="AB36" s="96" t="s">
        <v>53</v>
      </c>
      <c r="AC36" s="138"/>
      <c r="AD36" s="146">
        <v>29</v>
      </c>
      <c r="AE36" s="147" t="s">
        <v>32</v>
      </c>
      <c r="AF36" s="141">
        <f t="shared" si="15"/>
        <v>0</v>
      </c>
      <c r="AG36" s="141">
        <f t="shared" si="15"/>
        <v>3</v>
      </c>
      <c r="AH36" s="141">
        <f t="shared" si="16"/>
        <v>0</v>
      </c>
      <c r="AI36" s="108"/>
      <c r="AJ36" s="148">
        <v>29</v>
      </c>
      <c r="AK36" s="149" t="s">
        <v>32</v>
      </c>
      <c r="AL36" s="144">
        <f t="shared" si="8"/>
        <v>0</v>
      </c>
      <c r="AM36" s="145">
        <f t="shared" si="9"/>
        <v>0</v>
      </c>
      <c r="AN36" s="144">
        <f t="shared" si="13"/>
        <v>3</v>
      </c>
      <c r="AO36" s="145">
        <f t="shared" si="10"/>
        <v>1</v>
      </c>
      <c r="AP36" s="144">
        <f t="shared" si="14"/>
        <v>0</v>
      </c>
      <c r="AQ36" s="145">
        <f t="shared" si="11"/>
        <v>0</v>
      </c>
    </row>
    <row r="37" spans="1:43" x14ac:dyDescent="0.25">
      <c r="A37" s="156">
        <v>30</v>
      </c>
      <c r="B37" s="157" t="s">
        <v>33</v>
      </c>
      <c r="C37" s="264">
        <v>0</v>
      </c>
      <c r="D37" s="260"/>
      <c r="E37" s="260"/>
      <c r="F37" s="87">
        <f t="shared" si="0"/>
        <v>0</v>
      </c>
      <c r="G37" s="264">
        <v>0</v>
      </c>
      <c r="H37" s="260">
        <v>2</v>
      </c>
      <c r="I37" s="260"/>
      <c r="J37" s="87">
        <f t="shared" si="1"/>
        <v>2</v>
      </c>
      <c r="K37" s="264"/>
      <c r="L37" s="260"/>
      <c r="M37" s="260"/>
      <c r="N37" s="87">
        <f t="shared" si="2"/>
        <v>0</v>
      </c>
      <c r="O37" s="264">
        <f>[6]Maret!O37+[3]Maret!X35</f>
        <v>0</v>
      </c>
      <c r="P37" s="260"/>
      <c r="Q37" s="260"/>
      <c r="R37" s="87">
        <f t="shared" si="3"/>
        <v>0</v>
      </c>
      <c r="S37" s="264"/>
      <c r="T37" s="260"/>
      <c r="U37" s="260"/>
      <c r="V37" s="87">
        <f t="shared" si="4"/>
        <v>0</v>
      </c>
      <c r="W37" s="264">
        <f>[6]Maret!W37+[3]Maret!AS35</f>
        <v>0</v>
      </c>
      <c r="X37" s="260"/>
      <c r="Y37" s="260"/>
      <c r="Z37" s="87">
        <f t="shared" si="5"/>
        <v>0</v>
      </c>
      <c r="AA37" s="94">
        <f t="shared" si="12"/>
        <v>2</v>
      </c>
      <c r="AB37" s="96" t="s">
        <v>53</v>
      </c>
      <c r="AC37" s="138"/>
      <c r="AD37" s="146">
        <v>30</v>
      </c>
      <c r="AE37" s="147" t="s">
        <v>33</v>
      </c>
      <c r="AF37" s="141">
        <f t="shared" si="15"/>
        <v>0</v>
      </c>
      <c r="AG37" s="141">
        <f t="shared" si="15"/>
        <v>2</v>
      </c>
      <c r="AH37" s="141">
        <f t="shared" si="16"/>
        <v>0</v>
      </c>
      <c r="AI37" s="108"/>
      <c r="AJ37" s="148">
        <v>30</v>
      </c>
      <c r="AK37" s="149" t="s">
        <v>33</v>
      </c>
      <c r="AL37" s="144">
        <f t="shared" si="8"/>
        <v>0</v>
      </c>
      <c r="AM37" s="145">
        <f t="shared" si="9"/>
        <v>0</v>
      </c>
      <c r="AN37" s="144">
        <f t="shared" si="13"/>
        <v>2</v>
      </c>
      <c r="AO37" s="145">
        <f t="shared" si="10"/>
        <v>1</v>
      </c>
      <c r="AP37" s="144">
        <f t="shared" si="14"/>
        <v>0</v>
      </c>
      <c r="AQ37" s="145">
        <f t="shared" si="11"/>
        <v>0</v>
      </c>
    </row>
    <row r="38" spans="1:43" ht="15.75" thickBot="1" x14ac:dyDescent="0.3">
      <c r="A38" s="158">
        <v>31</v>
      </c>
      <c r="B38" s="159" t="s">
        <v>34</v>
      </c>
      <c r="C38" s="265">
        <v>0</v>
      </c>
      <c r="D38" s="262"/>
      <c r="E38" s="262"/>
      <c r="F38" s="88">
        <f t="shared" si="0"/>
        <v>0</v>
      </c>
      <c r="G38" s="265">
        <v>0</v>
      </c>
      <c r="H38" s="262"/>
      <c r="I38" s="262"/>
      <c r="J38" s="88">
        <f t="shared" si="1"/>
        <v>0</v>
      </c>
      <c r="K38" s="265"/>
      <c r="L38" s="262"/>
      <c r="M38" s="262"/>
      <c r="N38" s="88">
        <f t="shared" si="2"/>
        <v>0</v>
      </c>
      <c r="O38" s="265">
        <f>[6]Maret!O38+[3]Maret!X36</f>
        <v>0</v>
      </c>
      <c r="P38" s="262"/>
      <c r="Q38" s="262"/>
      <c r="R38" s="88">
        <f t="shared" si="3"/>
        <v>0</v>
      </c>
      <c r="S38" s="265"/>
      <c r="T38" s="262"/>
      <c r="U38" s="262"/>
      <c r="V38" s="88">
        <f t="shared" si="4"/>
        <v>0</v>
      </c>
      <c r="W38" s="265">
        <f>[6]Maret!W38+[3]Maret!AS36</f>
        <v>0</v>
      </c>
      <c r="X38" s="262"/>
      <c r="Y38" s="262"/>
      <c r="Z38" s="88">
        <f t="shared" si="5"/>
        <v>0</v>
      </c>
      <c r="AA38" s="94">
        <f t="shared" si="12"/>
        <v>0</v>
      </c>
      <c r="AB38" s="97" t="s">
        <v>53</v>
      </c>
      <c r="AC38" s="138"/>
      <c r="AD38" s="150">
        <v>31</v>
      </c>
      <c r="AE38" s="151" t="s">
        <v>34</v>
      </c>
      <c r="AF38" s="141">
        <f t="shared" si="15"/>
        <v>0</v>
      </c>
      <c r="AG38" s="141">
        <f t="shared" si="15"/>
        <v>0</v>
      </c>
      <c r="AH38" s="141">
        <f t="shared" si="16"/>
        <v>0</v>
      </c>
      <c r="AI38" s="108"/>
      <c r="AJ38" s="148">
        <v>31</v>
      </c>
      <c r="AK38" s="149" t="s">
        <v>34</v>
      </c>
      <c r="AL38" s="152">
        <f t="shared" si="8"/>
        <v>0</v>
      </c>
      <c r="AM38" s="153" t="e">
        <f t="shared" si="9"/>
        <v>#DIV/0!</v>
      </c>
      <c r="AN38" s="144">
        <f t="shared" si="13"/>
        <v>0</v>
      </c>
      <c r="AO38" s="145" t="e">
        <f t="shared" si="10"/>
        <v>#DIV/0!</v>
      </c>
      <c r="AP38" s="144">
        <f t="shared" si="14"/>
        <v>0</v>
      </c>
      <c r="AQ38" s="145" t="e">
        <f t="shared" si="11"/>
        <v>#DIV/0!</v>
      </c>
    </row>
    <row r="39" spans="1:43" ht="33.75" customHeight="1" thickBot="1" x14ac:dyDescent="0.3">
      <c r="A39" s="308" t="s">
        <v>58</v>
      </c>
      <c r="B39" s="309"/>
      <c r="C39" s="99">
        <f t="shared" ref="C39:I39" si="17">SUM(C8:C38)</f>
        <v>4810</v>
      </c>
      <c r="D39" s="100">
        <f t="shared" si="17"/>
        <v>92.990000000000009</v>
      </c>
      <c r="E39" s="100">
        <f t="shared" si="17"/>
        <v>1030</v>
      </c>
      <c r="F39" s="219">
        <f t="shared" si="17"/>
        <v>5932.99</v>
      </c>
      <c r="G39" s="101">
        <f t="shared" si="17"/>
        <v>1511.9</v>
      </c>
      <c r="H39" s="102">
        <f t="shared" si="17"/>
        <v>60.599999999999994</v>
      </c>
      <c r="I39" s="102">
        <f t="shared" si="17"/>
        <v>1200</v>
      </c>
      <c r="J39" s="219">
        <f>SUM(J8:J38)</f>
        <v>2772.5000000000005</v>
      </c>
      <c r="K39" s="101">
        <f>SUM(K8:K38)</f>
        <v>71.900000000000006</v>
      </c>
      <c r="L39" s="102">
        <f>SUM(L8:L38)</f>
        <v>104.7</v>
      </c>
      <c r="M39" s="102">
        <f t="shared" ref="M39" si="18">SUM(M8:M38)</f>
        <v>500</v>
      </c>
      <c r="N39" s="219">
        <f>SUM(N8:N38)</f>
        <v>676.59999999999991</v>
      </c>
      <c r="O39" s="101">
        <f>SUM(O8:O38)</f>
        <v>6732.1</v>
      </c>
      <c r="P39" s="102">
        <f>SUM(P8:P38)</f>
        <v>92.199999999999989</v>
      </c>
      <c r="Q39" s="102">
        <f t="shared" ref="Q39" si="19">SUM(Q8:Q38)</f>
        <v>1480</v>
      </c>
      <c r="R39" s="219">
        <f>SUM(R8:R38)</f>
        <v>8304.3000000000029</v>
      </c>
      <c r="S39" s="101">
        <f>SUM(S8:S38)</f>
        <v>1180</v>
      </c>
      <c r="T39" s="102">
        <f>SUM(T8:T38)</f>
        <v>55</v>
      </c>
      <c r="U39" s="102">
        <f t="shared" ref="U39" si="20">SUM(U8:U38)</f>
        <v>464</v>
      </c>
      <c r="V39" s="219">
        <f>SUM(V8:V38)</f>
        <v>1699</v>
      </c>
      <c r="W39" s="101">
        <f>SUM(W8:W38)</f>
        <v>620</v>
      </c>
      <c r="X39" s="102">
        <f>SUM(X8:X38)</f>
        <v>118</v>
      </c>
      <c r="Y39" s="102">
        <f t="shared" ref="Y39" si="21">SUM(Y8:Y38)</f>
        <v>416</v>
      </c>
      <c r="Z39" s="219">
        <f>SUM(Z8:Z38)</f>
        <v>1154</v>
      </c>
      <c r="AA39" s="220">
        <f>SUM(AA8:AA38)</f>
        <v>20539.39</v>
      </c>
      <c r="AB39" s="221" t="s">
        <v>51</v>
      </c>
      <c r="AC39" s="103"/>
      <c r="AD39" s="104" t="s">
        <v>96</v>
      </c>
      <c r="AE39" s="105"/>
      <c r="AF39" s="106">
        <f>SUM(AF8:AF38)</f>
        <v>14925.9</v>
      </c>
      <c r="AG39" s="106">
        <f>SUM(AG8:AG38)</f>
        <v>523.49000000000012</v>
      </c>
      <c r="AH39" s="107">
        <f>SUM(AH8:AH38)</f>
        <v>5090</v>
      </c>
      <c r="AI39" s="108"/>
      <c r="AJ39" s="109" t="s">
        <v>94</v>
      </c>
      <c r="AK39" s="110"/>
      <c r="AL39" s="111">
        <f>SUM(AL8:AL38)</f>
        <v>14925.9</v>
      </c>
      <c r="AM39" s="112" t="s">
        <v>64</v>
      </c>
      <c r="AN39" s="111">
        <f>SUM(AN8:AN38)</f>
        <v>523.49000000000012</v>
      </c>
      <c r="AO39" s="113" t="s">
        <v>64</v>
      </c>
      <c r="AP39" s="111">
        <f>SUM(AP8:AP38)</f>
        <v>5090</v>
      </c>
      <c r="AQ39" s="113" t="s">
        <v>64</v>
      </c>
    </row>
    <row r="40" spans="1:43" ht="33.75" customHeight="1" thickBot="1" x14ac:dyDescent="0.3">
      <c r="A40" s="308" t="s">
        <v>59</v>
      </c>
      <c r="B40" s="309"/>
      <c r="C40" s="114">
        <f>C39/1000</f>
        <v>4.8099999999999996</v>
      </c>
      <c r="D40" s="115">
        <f t="shared" ref="D40:E40" si="22">D39/1000</f>
        <v>9.2990000000000003E-2</v>
      </c>
      <c r="E40" s="115">
        <f t="shared" si="22"/>
        <v>1.03</v>
      </c>
      <c r="F40" s="222">
        <f>F39/1000</f>
        <v>5.9329900000000002</v>
      </c>
      <c r="G40" s="116">
        <f>G39/1000</f>
        <v>1.5119</v>
      </c>
      <c r="H40" s="117">
        <f t="shared" ref="H40:I40" si="23">H39/1000</f>
        <v>6.0599999999999994E-2</v>
      </c>
      <c r="I40" s="117">
        <f t="shared" si="23"/>
        <v>1.2</v>
      </c>
      <c r="J40" s="222">
        <f>J39/1000</f>
        <v>2.7725000000000004</v>
      </c>
      <c r="K40" s="116">
        <f>K39/1000</f>
        <v>7.1900000000000006E-2</v>
      </c>
      <c r="L40" s="117">
        <f t="shared" ref="L40:M40" si="24">L39/1000</f>
        <v>0.1047</v>
      </c>
      <c r="M40" s="117">
        <f t="shared" si="24"/>
        <v>0.5</v>
      </c>
      <c r="N40" s="222">
        <f>N39/1000</f>
        <v>0.67659999999999987</v>
      </c>
      <c r="O40" s="116">
        <f>O39/1000</f>
        <v>6.7321</v>
      </c>
      <c r="P40" s="117">
        <f t="shared" ref="P40:Q40" si="25">P39/1000</f>
        <v>9.219999999999999E-2</v>
      </c>
      <c r="Q40" s="117">
        <f t="shared" si="25"/>
        <v>1.48</v>
      </c>
      <c r="R40" s="222">
        <f>R39/1000</f>
        <v>8.3043000000000031</v>
      </c>
      <c r="S40" s="116">
        <f>S39/1000</f>
        <v>1.18</v>
      </c>
      <c r="T40" s="117">
        <f t="shared" ref="T40" si="26">T39/1000</f>
        <v>5.5E-2</v>
      </c>
      <c r="U40" s="117">
        <f>U39/1000</f>
        <v>0.46400000000000002</v>
      </c>
      <c r="V40" s="222">
        <f>V39/1000</f>
        <v>1.6990000000000001</v>
      </c>
      <c r="W40" s="116">
        <f>W39/1000</f>
        <v>0.62</v>
      </c>
      <c r="X40" s="117">
        <f t="shared" ref="X40:Y40" si="27">X39/1000</f>
        <v>0.11799999999999999</v>
      </c>
      <c r="Y40" s="117">
        <f t="shared" si="27"/>
        <v>0.41599999999999998</v>
      </c>
      <c r="Z40" s="222">
        <f>Z39/1000</f>
        <v>1.1539999999999999</v>
      </c>
      <c r="AA40" s="223">
        <f>AA39/1000</f>
        <v>20.539390000000001</v>
      </c>
      <c r="AB40" s="224" t="s">
        <v>52</v>
      </c>
      <c r="AC40" s="103"/>
      <c r="AD40" s="118" t="s">
        <v>97</v>
      </c>
      <c r="AE40" s="119"/>
      <c r="AF40" s="120">
        <f>AF39/1000</f>
        <v>14.9259</v>
      </c>
      <c r="AG40" s="120">
        <f t="shared" ref="AG40:AH40" si="28">AG39/1000</f>
        <v>0.52349000000000012</v>
      </c>
      <c r="AH40" s="121">
        <f t="shared" si="28"/>
        <v>5.09</v>
      </c>
      <c r="AI40" s="108"/>
      <c r="AJ40" s="109" t="s">
        <v>95</v>
      </c>
      <c r="AK40" s="110"/>
      <c r="AL40" s="122">
        <f>AL39/1000</f>
        <v>14.9259</v>
      </c>
      <c r="AM40" s="123">
        <f>AL40/AA40</f>
        <v>0.72669636245282843</v>
      </c>
      <c r="AN40" s="122">
        <f>AN39/1000</f>
        <v>0.52349000000000012</v>
      </c>
      <c r="AO40" s="124">
        <f>AN40/AA40</f>
        <v>2.5487124982777002E-2</v>
      </c>
      <c r="AP40" s="122">
        <f>AP39/1000</f>
        <v>5.09</v>
      </c>
      <c r="AQ40" s="124">
        <f>AP40/AA40</f>
        <v>0.24781651256439455</v>
      </c>
    </row>
    <row r="41" spans="1:43" ht="33.75" customHeight="1" thickBot="1" x14ac:dyDescent="0.3">
      <c r="A41" s="308" t="s">
        <v>74</v>
      </c>
      <c r="B41" s="309"/>
      <c r="C41" s="114">
        <f>_xlfn.AGGREGATE(1,7,C8:C38)</f>
        <v>155.16129032258064</v>
      </c>
      <c r="D41" s="114">
        <f>_xlfn.AGGREGATE(1,7,D8:D38)</f>
        <v>3.7196000000000002</v>
      </c>
      <c r="E41" s="114">
        <f>_xlfn.AGGREGATE(1,7,E8:E38)</f>
        <v>515</v>
      </c>
      <c r="F41" s="222">
        <f>AVERAGEIF(F8:F38,"&gt;0")</f>
        <v>237.31959999999998</v>
      </c>
      <c r="G41" s="114">
        <f>_xlfn.AGGREGATE(1,7,G8:G38)</f>
        <v>48.770967741935486</v>
      </c>
      <c r="H41" s="114">
        <f>_xlfn.AGGREGATE(1,7,H8:H38)</f>
        <v>2.4239999999999999</v>
      </c>
      <c r="I41" s="114">
        <f>_xlfn.AGGREGATE(1,7,I8:I38)</f>
        <v>600</v>
      </c>
      <c r="J41" s="222">
        <f>AVERAGEIF(J8:J38,"&gt;0")</f>
        <v>110.90000000000002</v>
      </c>
      <c r="K41" s="114">
        <f>_xlfn.AGGREGATE(1,7,K8:K38)</f>
        <v>2.5678571428571431</v>
      </c>
      <c r="L41" s="114">
        <f>_xlfn.AGGREGATE(1,7,L8:L38)</f>
        <v>3.7392857142857143</v>
      </c>
      <c r="M41" s="114">
        <f>_xlfn.AGGREGATE(1,7,M8:M38)</f>
        <v>250</v>
      </c>
      <c r="N41" s="222">
        <f>AVERAGEIF(N8:N38,"&gt;0")</f>
        <v>24.164285714285711</v>
      </c>
      <c r="O41" s="114">
        <f>_xlfn.AGGREGATE(1,7,O8:O38)</f>
        <v>217.16451612903228</v>
      </c>
      <c r="P41" s="114">
        <f>_xlfn.AGGREGATE(1,7,P8:P38)</f>
        <v>3.2928571428571423</v>
      </c>
      <c r="Q41" s="114">
        <f>_xlfn.AGGREGATE(1,7,Q8:Q38)</f>
        <v>740</v>
      </c>
      <c r="R41" s="222">
        <f>AVERAGEIF(R8:R38,"&gt;0")</f>
        <v>296.58214285714297</v>
      </c>
      <c r="S41" s="114">
        <f>_xlfn.AGGREGATE(1,7,S8:S38)</f>
        <v>51.304347826086953</v>
      </c>
      <c r="T41" s="114">
        <f>_xlfn.AGGREGATE(1,7,T8:T38)</f>
        <v>2.1153846153846154</v>
      </c>
      <c r="U41" s="114">
        <f>_xlfn.AGGREGATE(1,7,U8:U38)</f>
        <v>232</v>
      </c>
      <c r="V41" s="222">
        <f>AVERAGEIF(V8:V38,"&gt;0")</f>
        <v>58.586206896551722</v>
      </c>
      <c r="W41" s="114">
        <f>_xlfn.AGGREGATE(1,7,W8:W38)</f>
        <v>20</v>
      </c>
      <c r="X41" s="114">
        <f>_xlfn.AGGREGATE(1,7,X8:X38)</f>
        <v>4.916666666666667</v>
      </c>
      <c r="Y41" s="114">
        <f>_xlfn.AGGREGATE(1,7,Y8:Y38)</f>
        <v>208</v>
      </c>
      <c r="Z41" s="222">
        <f>AVERAGEIF(Z8:Z38,"&gt;0")</f>
        <v>46.16</v>
      </c>
      <c r="AA41" s="223">
        <f>AVERAGEIF(AA8:AA38,"&gt;0")</f>
        <v>684.64633333333336</v>
      </c>
      <c r="AB41" s="225" t="s">
        <v>75</v>
      </c>
      <c r="AC41" s="103"/>
      <c r="AD41" s="118" t="s">
        <v>98</v>
      </c>
      <c r="AE41" s="119"/>
      <c r="AF41" s="125">
        <f>AVERAGEIF(AF8:AF38,"&gt;0")</f>
        <v>533.06785714285718</v>
      </c>
      <c r="AG41" s="125">
        <f>AVERAGEIF(AG8:AG38,"&gt;0")</f>
        <v>17.449666666666669</v>
      </c>
      <c r="AH41" s="125">
        <f>AVERAGEIF(AH8:AH38,"&gt;0")</f>
        <v>2545</v>
      </c>
      <c r="AI41" s="108"/>
      <c r="AJ41" s="109" t="s">
        <v>99</v>
      </c>
      <c r="AK41" s="110"/>
      <c r="AL41" s="125">
        <f>AVERAGEIF(AL8:AL38,"&gt;0")</f>
        <v>533.06785714285718</v>
      </c>
      <c r="AM41" s="126" t="s">
        <v>64</v>
      </c>
      <c r="AN41" s="125">
        <f>AVERAGEIF(AN8:AN38,"&gt;0")</f>
        <v>17.449666666666669</v>
      </c>
      <c r="AO41" s="124" t="s">
        <v>64</v>
      </c>
      <c r="AP41" s="125">
        <f>AVERAGEIF(AP8:AP38,"&gt;0")</f>
        <v>2545</v>
      </c>
      <c r="AQ41" s="124" t="s">
        <v>64</v>
      </c>
    </row>
    <row r="42" spans="1:43" x14ac:dyDescent="0.25">
      <c r="J42" s="89" t="s">
        <v>61</v>
      </c>
    </row>
    <row r="44" spans="1:43" x14ac:dyDescent="0.25">
      <c r="A44" s="128" t="s">
        <v>61</v>
      </c>
      <c r="C44" s="130" t="s">
        <v>50</v>
      </c>
      <c r="D44" s="131"/>
    </row>
    <row r="45" spans="1:43" x14ac:dyDescent="0.25">
      <c r="C45" s="132"/>
      <c r="D45" s="131" t="s">
        <v>133</v>
      </c>
    </row>
    <row r="46" spans="1:43" x14ac:dyDescent="0.25">
      <c r="C46" s="133"/>
      <c r="D46" s="131" t="s">
        <v>100</v>
      </c>
    </row>
    <row r="47" spans="1:43" x14ac:dyDescent="0.25">
      <c r="C47" s="134"/>
      <c r="D47" s="131" t="s">
        <v>100</v>
      </c>
    </row>
    <row r="48" spans="1:43" x14ac:dyDescent="0.25">
      <c r="C48" s="135"/>
      <c r="D48" s="131" t="s">
        <v>100</v>
      </c>
    </row>
    <row r="49" spans="3:5" x14ac:dyDescent="0.25">
      <c r="C49" s="136"/>
      <c r="D49" s="131" t="s">
        <v>100</v>
      </c>
    </row>
    <row r="50" spans="3:5" x14ac:dyDescent="0.25">
      <c r="C50" s="137"/>
      <c r="D50" s="131" t="s">
        <v>100</v>
      </c>
    </row>
    <row r="51" spans="3:5" x14ac:dyDescent="0.25">
      <c r="E51" s="129" t="s">
        <v>61</v>
      </c>
    </row>
  </sheetData>
  <sheetProtection algorithmName="SHA-512" hashValue="d0O+QpxmTS5eBXwKN1uS+TewcGBWS4nqBXzMrlF5bpH+ILamJxMvGvz/muhwB/bdjPoX4kcXF7HbaIhnILTvxg==" saltValue="St3nl0Lu90s0TpepgOl5KQ==" spinCount="100000" sheet="1" objects="1" scenarios="1" formatColumns="0" formatRows="0"/>
  <mergeCells count="14">
    <mergeCell ref="A39:B39"/>
    <mergeCell ref="A40:B40"/>
    <mergeCell ref="A41:B41"/>
    <mergeCell ref="W6:Y6"/>
    <mergeCell ref="A4:A7"/>
    <mergeCell ref="B4:B7"/>
    <mergeCell ref="AJ6:AQ6"/>
    <mergeCell ref="AA3:AA7"/>
    <mergeCell ref="AB3:AB7"/>
    <mergeCell ref="C6:E6"/>
    <mergeCell ref="G6:I6"/>
    <mergeCell ref="K6:M6"/>
    <mergeCell ref="O6:Q6"/>
    <mergeCell ref="S6:U6"/>
  </mergeCells>
  <printOptions horizontalCentered="1"/>
  <pageMargins left="0.19685039370078741" right="0.19685039370078741" top="0.39370078740157483" bottom="0.39370078740157483" header="0.11811023622047245" footer="0.11811023622047245"/>
  <pageSetup paperSize="9" scale="66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4D0DB-3163-4263-A414-B53C19A01652}">
  <sheetPr>
    <tabColor rgb="FFCCFFFF"/>
    <pageSetUpPr fitToPage="1"/>
  </sheetPr>
  <dimension ref="A1:AQ51"/>
  <sheetViews>
    <sheetView showGridLines="0" view="pageBreakPreview" zoomScale="80" zoomScaleNormal="78" zoomScaleSheetLayoutView="80" workbookViewId="0">
      <pane xSplit="2" ySplit="7" topLeftCell="C8" activePane="bottomRight" state="frozen"/>
      <selection activeCell="H31" sqref="H31"/>
      <selection pane="topRight" activeCell="H31" sqref="H31"/>
      <selection pane="bottomLeft" activeCell="H31" sqref="H31"/>
      <selection pane="bottomRight" activeCell="Q33" sqref="Q33"/>
    </sheetView>
  </sheetViews>
  <sheetFormatPr defaultColWidth="9.140625" defaultRowHeight="15" x14ac:dyDescent="0.25"/>
  <cols>
    <col min="1" max="1" width="11.42578125" style="128" customWidth="1"/>
    <col min="2" max="2" width="7.28515625" style="128" customWidth="1"/>
    <col min="3" max="3" width="8.42578125" style="129" customWidth="1"/>
    <col min="4" max="5" width="6.5703125" style="129" customWidth="1"/>
    <col min="6" max="6" width="7.5703125" style="89" customWidth="1"/>
    <col min="7" max="7" width="8.28515625" style="129" customWidth="1"/>
    <col min="8" max="9" width="6.5703125" style="129" customWidth="1"/>
    <col min="10" max="10" width="8.140625" style="89" customWidth="1"/>
    <col min="11" max="13" width="6.5703125" style="129" customWidth="1"/>
    <col min="14" max="14" width="6.5703125" style="89" customWidth="1"/>
    <col min="15" max="15" width="7.85546875" style="129" customWidth="1"/>
    <col min="16" max="17" width="6.5703125" style="129" customWidth="1"/>
    <col min="18" max="18" width="7.85546875" style="89" customWidth="1"/>
    <col min="19" max="19" width="7.85546875" style="129" customWidth="1"/>
    <col min="20" max="21" width="6.5703125" style="129" customWidth="1"/>
    <col min="22" max="22" width="8.140625" style="89" customWidth="1"/>
    <col min="23" max="25" width="6.5703125" style="129" customWidth="1"/>
    <col min="26" max="26" width="6.5703125" style="89" customWidth="1"/>
    <col min="27" max="27" width="10.42578125" style="91" customWidth="1"/>
    <col min="28" max="28" width="12" style="98" customWidth="1"/>
    <col min="29" max="29" width="8.5703125" style="98" hidden="1" customWidth="1"/>
    <col min="30" max="30" width="14.140625" style="129" hidden="1" customWidth="1"/>
    <col min="31" max="31" width="5.28515625" style="129" hidden="1" customWidth="1"/>
    <col min="32" max="32" width="11.7109375" style="129" hidden="1" customWidth="1"/>
    <col min="33" max="34" width="10.7109375" style="129" hidden="1" customWidth="1"/>
    <col min="35" max="35" width="8.5703125" style="129" hidden="1" customWidth="1"/>
    <col min="36" max="36" width="15.85546875" style="129" hidden="1" customWidth="1"/>
    <col min="37" max="37" width="5.28515625" style="129" hidden="1" customWidth="1"/>
    <col min="38" max="38" width="7.7109375" style="129" hidden="1" customWidth="1"/>
    <col min="39" max="39" width="11.5703125" style="129" hidden="1" customWidth="1"/>
    <col min="40" max="40" width="6.5703125" style="129" hidden="1" customWidth="1"/>
    <col min="41" max="41" width="11.85546875" style="129" hidden="1" customWidth="1"/>
    <col min="42" max="42" width="6.5703125" style="129" hidden="1" customWidth="1"/>
    <col min="43" max="43" width="11.85546875" style="129" hidden="1" customWidth="1"/>
    <col min="44" max="16384" width="9.140625" style="98"/>
  </cols>
  <sheetData>
    <row r="1" spans="1:43" x14ac:dyDescent="0.25">
      <c r="A1" s="226" t="s">
        <v>116</v>
      </c>
      <c r="B1" s="227" t="str">
        <f>'Rekap Neraca Pengelolaan Sampah'!C3</f>
        <v>PT PELINDO DAYA SEJAHTERA</v>
      </c>
    </row>
    <row r="2" spans="1:43" ht="15.75" thickBot="1" x14ac:dyDescent="0.3">
      <c r="A2" s="226" t="s">
        <v>42</v>
      </c>
      <c r="B2" s="227">
        <f>'Rekap Neraca Pengelolaan Sampah'!G2</f>
        <v>2025</v>
      </c>
    </row>
    <row r="3" spans="1:43" ht="15.75" thickBot="1" x14ac:dyDescent="0.3">
      <c r="A3" s="160" t="s">
        <v>2</v>
      </c>
      <c r="B3" s="82" t="s">
        <v>72</v>
      </c>
      <c r="C3" s="160" t="s">
        <v>36</v>
      </c>
      <c r="D3" s="90"/>
      <c r="E3" s="90"/>
      <c r="F3" s="82"/>
      <c r="G3" s="160" t="s">
        <v>36</v>
      </c>
      <c r="H3" s="90"/>
      <c r="I3" s="90"/>
      <c r="J3" s="90"/>
      <c r="K3" s="160" t="s">
        <v>36</v>
      </c>
      <c r="L3" s="90"/>
      <c r="M3" s="90"/>
      <c r="N3" s="90"/>
      <c r="O3" s="160" t="s">
        <v>36</v>
      </c>
      <c r="P3" s="90"/>
      <c r="Q3" s="90"/>
      <c r="R3" s="90"/>
      <c r="S3" s="160" t="s">
        <v>36</v>
      </c>
      <c r="T3" s="90"/>
      <c r="U3" s="90"/>
      <c r="V3" s="90"/>
      <c r="W3" s="160" t="s">
        <v>36</v>
      </c>
      <c r="X3" s="90"/>
      <c r="Y3" s="90"/>
      <c r="Z3" s="90"/>
      <c r="AA3" s="297" t="s">
        <v>125</v>
      </c>
      <c r="AB3" s="300" t="s">
        <v>57</v>
      </c>
      <c r="AD3" s="161" t="s">
        <v>54</v>
      </c>
      <c r="AE3" s="162"/>
      <c r="AF3" s="162"/>
      <c r="AG3" s="162"/>
      <c r="AH3" s="163"/>
      <c r="AI3" s="91"/>
      <c r="AJ3" s="164" t="s">
        <v>56</v>
      </c>
      <c r="AK3" s="165"/>
      <c r="AL3" s="165"/>
      <c r="AM3" s="165"/>
      <c r="AN3" s="165"/>
      <c r="AO3" s="165"/>
      <c r="AP3" s="165"/>
      <c r="AQ3" s="165"/>
    </row>
    <row r="4" spans="1:43" x14ac:dyDescent="0.25">
      <c r="A4" s="310" t="s">
        <v>0</v>
      </c>
      <c r="B4" s="313" t="s">
        <v>87</v>
      </c>
      <c r="C4" s="98" t="s">
        <v>37</v>
      </c>
      <c r="D4" s="98"/>
      <c r="E4" s="98"/>
      <c r="F4" s="83"/>
      <c r="G4" s="166" t="s">
        <v>37</v>
      </c>
      <c r="H4" s="98"/>
      <c r="I4" s="98"/>
      <c r="J4" s="91"/>
      <c r="K4" s="166" t="s">
        <v>37</v>
      </c>
      <c r="L4" s="98"/>
      <c r="M4" s="98"/>
      <c r="N4" s="91"/>
      <c r="O4" s="166" t="s">
        <v>37</v>
      </c>
      <c r="P4" s="98"/>
      <c r="Q4" s="98"/>
      <c r="R4" s="91"/>
      <c r="S4" s="166" t="s">
        <v>37</v>
      </c>
      <c r="T4" s="98"/>
      <c r="U4" s="98"/>
      <c r="V4" s="91"/>
      <c r="W4" s="166" t="s">
        <v>37</v>
      </c>
      <c r="X4" s="98"/>
      <c r="Y4" s="98"/>
      <c r="Z4" s="91"/>
      <c r="AA4" s="298"/>
      <c r="AB4" s="301"/>
      <c r="AD4" s="167" t="s">
        <v>55</v>
      </c>
      <c r="AE4" s="168"/>
      <c r="AF4" s="168"/>
      <c r="AG4" s="169"/>
      <c r="AH4" s="170"/>
      <c r="AI4" s="98"/>
      <c r="AJ4" s="171" t="s">
        <v>126</v>
      </c>
      <c r="AK4" s="172"/>
      <c r="AL4" s="172"/>
      <c r="AM4" s="173"/>
      <c r="AN4" s="173"/>
      <c r="AO4" s="173"/>
      <c r="AP4" s="173"/>
      <c r="AQ4" s="173"/>
    </row>
    <row r="5" spans="1:43" ht="15.75" thickBot="1" x14ac:dyDescent="0.3">
      <c r="A5" s="311"/>
      <c r="B5" s="314"/>
      <c r="C5" s="91" t="s">
        <v>3</v>
      </c>
      <c r="D5" s="91"/>
      <c r="E5" s="91"/>
      <c r="F5" s="83"/>
      <c r="G5" s="174" t="s">
        <v>3</v>
      </c>
      <c r="H5" s="91"/>
      <c r="I5" s="91"/>
      <c r="J5" s="91"/>
      <c r="K5" s="174" t="s">
        <v>3</v>
      </c>
      <c r="L5" s="91"/>
      <c r="M5" s="91"/>
      <c r="N5" s="91"/>
      <c r="O5" s="174" t="s">
        <v>3</v>
      </c>
      <c r="P5" s="91"/>
      <c r="Q5" s="91"/>
      <c r="R5" s="91"/>
      <c r="S5" s="174" t="s">
        <v>3</v>
      </c>
      <c r="T5" s="91"/>
      <c r="U5" s="91"/>
      <c r="V5" s="91"/>
      <c r="W5" s="174" t="s">
        <v>3</v>
      </c>
      <c r="X5" s="91"/>
      <c r="Y5" s="91"/>
      <c r="Z5" s="91"/>
      <c r="AA5" s="298"/>
      <c r="AB5" s="301"/>
      <c r="AD5" s="175" t="s">
        <v>37</v>
      </c>
      <c r="AE5" s="169"/>
      <c r="AF5" s="169"/>
      <c r="AG5" s="168"/>
      <c r="AH5" s="176"/>
      <c r="AI5" s="91"/>
      <c r="AJ5" s="177" t="s">
        <v>91</v>
      </c>
      <c r="AK5" s="178" t="str">
        <f>B3</f>
        <v>April</v>
      </c>
      <c r="AL5" s="178" t="s">
        <v>63</v>
      </c>
      <c r="AM5" s="178" t="str">
        <f>B4</f>
        <v>Tanggal</v>
      </c>
      <c r="AN5" s="179"/>
      <c r="AO5" s="179"/>
      <c r="AP5" s="179"/>
      <c r="AQ5" s="179"/>
    </row>
    <row r="6" spans="1:43" ht="30.75" customHeight="1" thickBot="1" x14ac:dyDescent="0.3">
      <c r="A6" s="311"/>
      <c r="B6" s="314"/>
      <c r="C6" s="316" t="s">
        <v>109</v>
      </c>
      <c r="D6" s="303"/>
      <c r="E6" s="303"/>
      <c r="F6" s="84"/>
      <c r="G6" s="304" t="s">
        <v>123</v>
      </c>
      <c r="H6" s="305"/>
      <c r="I6" s="305"/>
      <c r="J6" s="92"/>
      <c r="K6" s="306" t="s">
        <v>111</v>
      </c>
      <c r="L6" s="307"/>
      <c r="M6" s="307"/>
      <c r="N6" s="93"/>
      <c r="O6" s="306" t="s">
        <v>115</v>
      </c>
      <c r="P6" s="307"/>
      <c r="Q6" s="307"/>
      <c r="R6" s="93"/>
      <c r="S6" s="304" t="s">
        <v>124</v>
      </c>
      <c r="T6" s="305"/>
      <c r="U6" s="305"/>
      <c r="V6" s="92"/>
      <c r="W6" s="304" t="s">
        <v>84</v>
      </c>
      <c r="X6" s="305"/>
      <c r="Y6" s="305"/>
      <c r="Z6" s="93"/>
      <c r="AA6" s="298"/>
      <c r="AB6" s="301"/>
      <c r="AD6" s="180" t="s">
        <v>91</v>
      </c>
      <c r="AE6" s="181" t="str">
        <f>B3</f>
        <v>April</v>
      </c>
      <c r="AF6" s="181" t="s">
        <v>63</v>
      </c>
      <c r="AG6" s="169" t="str">
        <f>B4</f>
        <v>Tanggal</v>
      </c>
      <c r="AH6" s="170"/>
      <c r="AI6" s="98"/>
      <c r="AJ6" s="296" t="s">
        <v>93</v>
      </c>
      <c r="AK6" s="296"/>
      <c r="AL6" s="296"/>
      <c r="AM6" s="296"/>
      <c r="AN6" s="296"/>
      <c r="AO6" s="296"/>
      <c r="AP6" s="296"/>
      <c r="AQ6" s="296"/>
    </row>
    <row r="7" spans="1:43" s="191" customFormat="1" ht="120.75" customHeight="1" thickBot="1" x14ac:dyDescent="0.3">
      <c r="A7" s="312"/>
      <c r="B7" s="315"/>
      <c r="C7" s="184" t="s">
        <v>85</v>
      </c>
      <c r="D7" s="182" t="s">
        <v>108</v>
      </c>
      <c r="E7" s="183" t="s">
        <v>145</v>
      </c>
      <c r="F7" s="85" t="s">
        <v>131</v>
      </c>
      <c r="G7" s="184" t="s">
        <v>85</v>
      </c>
      <c r="H7" s="182" t="s">
        <v>108</v>
      </c>
      <c r="I7" s="183" t="s">
        <v>145</v>
      </c>
      <c r="J7" s="85" t="s">
        <v>131</v>
      </c>
      <c r="K7" s="184" t="s">
        <v>85</v>
      </c>
      <c r="L7" s="182" t="s">
        <v>108</v>
      </c>
      <c r="M7" s="183" t="s">
        <v>145</v>
      </c>
      <c r="N7" s="85" t="s">
        <v>131</v>
      </c>
      <c r="O7" s="184" t="s">
        <v>85</v>
      </c>
      <c r="P7" s="182" t="s">
        <v>108</v>
      </c>
      <c r="Q7" s="183" t="s">
        <v>145</v>
      </c>
      <c r="R7" s="85" t="s">
        <v>131</v>
      </c>
      <c r="S7" s="184" t="s">
        <v>85</v>
      </c>
      <c r="T7" s="182" t="s">
        <v>108</v>
      </c>
      <c r="U7" s="183" t="s">
        <v>145</v>
      </c>
      <c r="V7" s="85" t="s">
        <v>131</v>
      </c>
      <c r="W7" s="184" t="s">
        <v>85</v>
      </c>
      <c r="X7" s="182" t="s">
        <v>108</v>
      </c>
      <c r="Y7" s="183" t="s">
        <v>145</v>
      </c>
      <c r="Z7" s="85" t="s">
        <v>131</v>
      </c>
      <c r="AA7" s="299"/>
      <c r="AB7" s="302"/>
      <c r="AC7" s="185"/>
      <c r="AD7" s="186" t="s">
        <v>90</v>
      </c>
      <c r="AE7" s="187" t="s">
        <v>87</v>
      </c>
      <c r="AF7" s="188" t="s">
        <v>92</v>
      </c>
      <c r="AG7" s="188" t="s">
        <v>110</v>
      </c>
      <c r="AH7" s="188" t="s">
        <v>101</v>
      </c>
      <c r="AI7" s="185"/>
      <c r="AJ7" s="189" t="s">
        <v>90</v>
      </c>
      <c r="AK7" s="189" t="s">
        <v>87</v>
      </c>
      <c r="AL7" s="190" t="s">
        <v>40</v>
      </c>
      <c r="AM7" s="190" t="s">
        <v>60</v>
      </c>
      <c r="AN7" s="190" t="s">
        <v>38</v>
      </c>
      <c r="AO7" s="190" t="s">
        <v>39</v>
      </c>
      <c r="AP7" s="190" t="s">
        <v>103</v>
      </c>
      <c r="AQ7" s="190" t="s">
        <v>102</v>
      </c>
    </row>
    <row r="8" spans="1:43" x14ac:dyDescent="0.25">
      <c r="A8" s="154">
        <v>1</v>
      </c>
      <c r="B8" s="155" t="s">
        <v>4</v>
      </c>
      <c r="C8" s="263">
        <f>[6]April!C8+[3]April!J6</f>
        <v>0</v>
      </c>
      <c r="D8" s="258"/>
      <c r="E8" s="258">
        <v>0</v>
      </c>
      <c r="F8" s="86">
        <f t="shared" ref="F8:F38" si="0">SUM(C8:E8)</f>
        <v>0</v>
      </c>
      <c r="G8" s="263">
        <f>[6]April!G8+[3]April!Q6</f>
        <v>0</v>
      </c>
      <c r="H8" s="258"/>
      <c r="I8" s="258">
        <v>0</v>
      </c>
      <c r="J8" s="86">
        <f t="shared" ref="J8:J38" si="1">SUM(G8:I8)</f>
        <v>0</v>
      </c>
      <c r="K8" s="263"/>
      <c r="L8" s="258"/>
      <c r="M8" s="258">
        <v>0</v>
      </c>
      <c r="N8" s="86">
        <f t="shared" ref="N8:N38" si="2">SUM(K8:M8)</f>
        <v>0</v>
      </c>
      <c r="O8" s="263">
        <f>[6]April!C8+[3]April!X6</f>
        <v>0</v>
      </c>
      <c r="P8" s="258"/>
      <c r="Q8" s="258">
        <v>0</v>
      </c>
      <c r="R8" s="86">
        <f t="shared" ref="R8:R38" si="3">SUM(O8:Q8)</f>
        <v>0</v>
      </c>
      <c r="S8" s="263"/>
      <c r="T8" s="258"/>
      <c r="U8" s="258">
        <v>0</v>
      </c>
      <c r="V8" s="86">
        <f t="shared" ref="V8:V38" si="4">SUM(S8:U8)</f>
        <v>0</v>
      </c>
      <c r="W8" s="263">
        <f>[6]April!W8+[3]April!AS6</f>
        <v>0</v>
      </c>
      <c r="X8" s="258"/>
      <c r="Y8" s="258">
        <v>0</v>
      </c>
      <c r="Z8" s="86">
        <f t="shared" ref="Z8:Z38" si="5">SUM(W8:Y8)</f>
        <v>0</v>
      </c>
      <c r="AA8" s="94">
        <f>(F8+J8+N8+R8+V8+Z8)</f>
        <v>0</v>
      </c>
      <c r="AB8" s="95" t="s">
        <v>53</v>
      </c>
      <c r="AC8" s="138"/>
      <c r="AD8" s="139">
        <v>1</v>
      </c>
      <c r="AE8" s="140" t="s">
        <v>4</v>
      </c>
      <c r="AF8" s="141">
        <f t="shared" ref="AF8:AG16" si="6">(C8+G8+K8+O8+S8+W8)</f>
        <v>0</v>
      </c>
      <c r="AG8" s="141">
        <f t="shared" si="6"/>
        <v>0</v>
      </c>
      <c r="AH8" s="141">
        <f t="shared" ref="AH8:AH16" si="7">(E8+I8+M8+Q8++U8+Y8)</f>
        <v>0</v>
      </c>
      <c r="AI8" s="108"/>
      <c r="AJ8" s="142">
        <v>1</v>
      </c>
      <c r="AK8" s="143" t="s">
        <v>4</v>
      </c>
      <c r="AL8" s="144">
        <f t="shared" ref="AL8:AL38" si="8">AF8</f>
        <v>0</v>
      </c>
      <c r="AM8" s="145" t="e">
        <f t="shared" ref="AM8:AM38" si="9">AL8/AA8</f>
        <v>#DIV/0!</v>
      </c>
      <c r="AN8" s="144">
        <f>AG8</f>
        <v>0</v>
      </c>
      <c r="AO8" s="145" t="e">
        <f t="shared" ref="AO8:AO38" si="10">AN8/AA8</f>
        <v>#DIV/0!</v>
      </c>
      <c r="AP8" s="144">
        <f>AH8</f>
        <v>0</v>
      </c>
      <c r="AQ8" s="145" t="e">
        <f t="shared" ref="AQ8:AQ38" si="11">AP8/AA8</f>
        <v>#DIV/0!</v>
      </c>
    </row>
    <row r="9" spans="1:43" x14ac:dyDescent="0.25">
      <c r="A9" s="156">
        <v>2</v>
      </c>
      <c r="B9" s="157" t="s">
        <v>5</v>
      </c>
      <c r="C9" s="264">
        <v>20</v>
      </c>
      <c r="D9" s="260">
        <v>3</v>
      </c>
      <c r="E9" s="260">
        <v>0</v>
      </c>
      <c r="F9" s="87">
        <f t="shared" si="0"/>
        <v>23</v>
      </c>
      <c r="G9" s="264">
        <f>[6]April!G9+[3]April!Q7</f>
        <v>10</v>
      </c>
      <c r="H9" s="260"/>
      <c r="I9" s="260">
        <v>0</v>
      </c>
      <c r="J9" s="87">
        <f t="shared" si="1"/>
        <v>10</v>
      </c>
      <c r="K9" s="264">
        <v>2.9</v>
      </c>
      <c r="L9" s="260">
        <v>5</v>
      </c>
      <c r="M9" s="260">
        <v>0</v>
      </c>
      <c r="N9" s="87">
        <f t="shared" si="2"/>
        <v>7.9</v>
      </c>
      <c r="O9" s="264">
        <f>[6]April!C9+[3]April!X7</f>
        <v>10</v>
      </c>
      <c r="P9" s="260">
        <v>5.5</v>
      </c>
      <c r="Q9" s="260">
        <v>0</v>
      </c>
      <c r="R9" s="87">
        <f t="shared" si="3"/>
        <v>15.5</v>
      </c>
      <c r="S9" s="264">
        <v>30</v>
      </c>
      <c r="T9" s="260">
        <v>3</v>
      </c>
      <c r="U9" s="260">
        <v>0</v>
      </c>
      <c r="V9" s="87">
        <f t="shared" si="4"/>
        <v>33</v>
      </c>
      <c r="W9" s="264">
        <f>[6]April!W9+[3]April!AS7</f>
        <v>30</v>
      </c>
      <c r="X9" s="260">
        <v>3</v>
      </c>
      <c r="Y9" s="260">
        <v>0</v>
      </c>
      <c r="Z9" s="87">
        <f t="shared" si="5"/>
        <v>33</v>
      </c>
      <c r="AA9" s="94">
        <f t="shared" ref="AA9:AA38" si="12">(F9+J9+N9+R9+V9+Z9)</f>
        <v>122.4</v>
      </c>
      <c r="AB9" s="96" t="s">
        <v>53</v>
      </c>
      <c r="AC9" s="138"/>
      <c r="AD9" s="146">
        <v>2</v>
      </c>
      <c r="AE9" s="147" t="s">
        <v>5</v>
      </c>
      <c r="AF9" s="141">
        <f t="shared" si="6"/>
        <v>102.9</v>
      </c>
      <c r="AG9" s="141">
        <f t="shared" si="6"/>
        <v>19.5</v>
      </c>
      <c r="AH9" s="141">
        <f t="shared" si="7"/>
        <v>0</v>
      </c>
      <c r="AI9" s="108"/>
      <c r="AJ9" s="148">
        <v>2</v>
      </c>
      <c r="AK9" s="149" t="s">
        <v>5</v>
      </c>
      <c r="AL9" s="144">
        <f t="shared" si="8"/>
        <v>102.9</v>
      </c>
      <c r="AM9" s="145">
        <f t="shared" si="9"/>
        <v>0.84068627450980393</v>
      </c>
      <c r="AN9" s="144">
        <f t="shared" ref="AN9:AN38" si="13">AG9</f>
        <v>19.5</v>
      </c>
      <c r="AO9" s="145">
        <f t="shared" si="10"/>
        <v>0.15931372549019607</v>
      </c>
      <c r="AP9" s="144">
        <f t="shared" ref="AP9:AP38" si="14">AH9</f>
        <v>0</v>
      </c>
      <c r="AQ9" s="145">
        <f t="shared" si="11"/>
        <v>0</v>
      </c>
    </row>
    <row r="10" spans="1:43" x14ac:dyDescent="0.25">
      <c r="A10" s="156">
        <v>3</v>
      </c>
      <c r="B10" s="157" t="s">
        <v>6</v>
      </c>
      <c r="C10" s="264">
        <v>20</v>
      </c>
      <c r="D10" s="260">
        <v>3</v>
      </c>
      <c r="E10" s="260">
        <v>0</v>
      </c>
      <c r="F10" s="87">
        <f t="shared" si="0"/>
        <v>23</v>
      </c>
      <c r="G10" s="264">
        <v>20</v>
      </c>
      <c r="H10" s="260"/>
      <c r="I10" s="260">
        <v>0</v>
      </c>
      <c r="J10" s="87">
        <f t="shared" si="1"/>
        <v>20</v>
      </c>
      <c r="K10" s="264">
        <v>4.0999999999999996</v>
      </c>
      <c r="L10" s="260"/>
      <c r="M10" s="260">
        <v>0</v>
      </c>
      <c r="N10" s="87">
        <f t="shared" si="2"/>
        <v>4.0999999999999996</v>
      </c>
      <c r="O10" s="264">
        <v>30</v>
      </c>
      <c r="P10" s="260"/>
      <c r="Q10" s="260">
        <v>0</v>
      </c>
      <c r="R10" s="87">
        <f t="shared" si="3"/>
        <v>30</v>
      </c>
      <c r="S10" s="264">
        <v>30</v>
      </c>
      <c r="T10" s="260">
        <v>3</v>
      </c>
      <c r="U10" s="260">
        <v>0</v>
      </c>
      <c r="V10" s="87">
        <f t="shared" si="4"/>
        <v>33</v>
      </c>
      <c r="W10" s="264">
        <v>60</v>
      </c>
      <c r="X10" s="260">
        <v>3</v>
      </c>
      <c r="Y10" s="260">
        <v>0</v>
      </c>
      <c r="Z10" s="87">
        <f t="shared" si="5"/>
        <v>63</v>
      </c>
      <c r="AA10" s="94">
        <f t="shared" si="12"/>
        <v>173.1</v>
      </c>
      <c r="AB10" s="96" t="s">
        <v>53</v>
      </c>
      <c r="AC10" s="138"/>
      <c r="AD10" s="146">
        <v>3</v>
      </c>
      <c r="AE10" s="147" t="s">
        <v>6</v>
      </c>
      <c r="AF10" s="141">
        <f t="shared" si="6"/>
        <v>164.1</v>
      </c>
      <c r="AG10" s="141">
        <f t="shared" si="6"/>
        <v>9</v>
      </c>
      <c r="AH10" s="141">
        <f t="shared" si="7"/>
        <v>0</v>
      </c>
      <c r="AI10" s="108"/>
      <c r="AJ10" s="148">
        <v>3</v>
      </c>
      <c r="AK10" s="149" t="s">
        <v>6</v>
      </c>
      <c r="AL10" s="144">
        <f t="shared" si="8"/>
        <v>164.1</v>
      </c>
      <c r="AM10" s="145">
        <f t="shared" si="9"/>
        <v>0.94800693240901213</v>
      </c>
      <c r="AN10" s="144">
        <f t="shared" si="13"/>
        <v>9</v>
      </c>
      <c r="AO10" s="145">
        <f t="shared" si="10"/>
        <v>5.1993067590987867E-2</v>
      </c>
      <c r="AP10" s="144">
        <f t="shared" si="14"/>
        <v>0</v>
      </c>
      <c r="AQ10" s="145">
        <f t="shared" si="11"/>
        <v>0</v>
      </c>
    </row>
    <row r="11" spans="1:43" x14ac:dyDescent="0.25">
      <c r="A11" s="156">
        <v>4</v>
      </c>
      <c r="B11" s="157" t="s">
        <v>7</v>
      </c>
      <c r="C11" s="264">
        <v>25</v>
      </c>
      <c r="D11" s="260">
        <v>3</v>
      </c>
      <c r="E11" s="260">
        <v>0</v>
      </c>
      <c r="F11" s="87">
        <f t="shared" si="0"/>
        <v>28</v>
      </c>
      <c r="G11" s="264">
        <f>[6]April!G11+[3]April!Q9</f>
        <v>10</v>
      </c>
      <c r="H11" s="260"/>
      <c r="I11" s="260">
        <v>0</v>
      </c>
      <c r="J11" s="87">
        <f t="shared" si="1"/>
        <v>10</v>
      </c>
      <c r="K11" s="264">
        <v>2.7</v>
      </c>
      <c r="L11" s="260"/>
      <c r="M11" s="260">
        <v>0</v>
      </c>
      <c r="N11" s="87">
        <f t="shared" si="2"/>
        <v>2.7</v>
      </c>
      <c r="O11" s="264">
        <f>[6]April!C11+[3]April!X9</f>
        <v>10</v>
      </c>
      <c r="P11" s="260"/>
      <c r="Q11" s="260">
        <v>0</v>
      </c>
      <c r="R11" s="87">
        <f t="shared" si="3"/>
        <v>10</v>
      </c>
      <c r="S11" s="264">
        <v>145</v>
      </c>
      <c r="T11" s="260">
        <f>3+2</f>
        <v>5</v>
      </c>
      <c r="U11" s="260">
        <v>0</v>
      </c>
      <c r="V11" s="87">
        <f t="shared" si="4"/>
        <v>150</v>
      </c>
      <c r="W11" s="264">
        <f>[6]April!W11+[3]April!AS9</f>
        <v>30</v>
      </c>
      <c r="X11" s="260">
        <v>3</v>
      </c>
      <c r="Y11" s="260">
        <v>0</v>
      </c>
      <c r="Z11" s="87">
        <f t="shared" si="5"/>
        <v>33</v>
      </c>
      <c r="AA11" s="94">
        <f t="shared" si="12"/>
        <v>233.7</v>
      </c>
      <c r="AB11" s="96" t="s">
        <v>53</v>
      </c>
      <c r="AC11" s="138"/>
      <c r="AD11" s="146">
        <v>4</v>
      </c>
      <c r="AE11" s="147" t="s">
        <v>7</v>
      </c>
      <c r="AF11" s="141">
        <f t="shared" si="6"/>
        <v>222.7</v>
      </c>
      <c r="AG11" s="141">
        <f t="shared" si="6"/>
        <v>11</v>
      </c>
      <c r="AH11" s="141">
        <f t="shared" si="7"/>
        <v>0</v>
      </c>
      <c r="AI11" s="108"/>
      <c r="AJ11" s="148">
        <v>4</v>
      </c>
      <c r="AK11" s="149" t="s">
        <v>7</v>
      </c>
      <c r="AL11" s="144">
        <f t="shared" si="8"/>
        <v>222.7</v>
      </c>
      <c r="AM11" s="145">
        <f t="shared" si="9"/>
        <v>0.95293110825845095</v>
      </c>
      <c r="AN11" s="144">
        <f t="shared" si="13"/>
        <v>11</v>
      </c>
      <c r="AO11" s="145">
        <f t="shared" si="10"/>
        <v>4.7068891741548997E-2</v>
      </c>
      <c r="AP11" s="144">
        <f t="shared" si="14"/>
        <v>0</v>
      </c>
      <c r="AQ11" s="145">
        <f t="shared" si="11"/>
        <v>0</v>
      </c>
    </row>
    <row r="12" spans="1:43" x14ac:dyDescent="0.25">
      <c r="A12" s="156">
        <v>5</v>
      </c>
      <c r="B12" s="157" t="s">
        <v>8</v>
      </c>
      <c r="C12" s="264">
        <v>15</v>
      </c>
      <c r="D12" s="260">
        <v>3</v>
      </c>
      <c r="E12" s="260">
        <v>0</v>
      </c>
      <c r="F12" s="87">
        <f t="shared" si="0"/>
        <v>18</v>
      </c>
      <c r="G12" s="264">
        <f>[6]April!G12+[3]April!Q10</f>
        <v>210</v>
      </c>
      <c r="H12" s="260">
        <v>1</v>
      </c>
      <c r="I12" s="260">
        <v>0</v>
      </c>
      <c r="J12" s="87">
        <f t="shared" si="1"/>
        <v>211</v>
      </c>
      <c r="K12" s="264">
        <v>3.1</v>
      </c>
      <c r="L12" s="260">
        <v>3.9</v>
      </c>
      <c r="M12" s="260">
        <v>0</v>
      </c>
      <c r="N12" s="87">
        <f t="shared" si="2"/>
        <v>7</v>
      </c>
      <c r="O12" s="264">
        <v>220</v>
      </c>
      <c r="P12" s="260">
        <f>2.5+1</f>
        <v>3.5</v>
      </c>
      <c r="Q12" s="260">
        <v>0</v>
      </c>
      <c r="R12" s="87">
        <f t="shared" si="3"/>
        <v>223.5</v>
      </c>
      <c r="S12" s="264">
        <v>35</v>
      </c>
      <c r="T12" s="260">
        <v>3</v>
      </c>
      <c r="U12" s="260">
        <v>0</v>
      </c>
      <c r="V12" s="87">
        <f t="shared" si="4"/>
        <v>38</v>
      </c>
      <c r="W12" s="264">
        <v>45</v>
      </c>
      <c r="X12" s="260">
        <v>3</v>
      </c>
      <c r="Y12" s="260">
        <v>0</v>
      </c>
      <c r="Z12" s="87">
        <f t="shared" si="5"/>
        <v>48</v>
      </c>
      <c r="AA12" s="94">
        <f t="shared" si="12"/>
        <v>545.5</v>
      </c>
      <c r="AB12" s="96" t="s">
        <v>53</v>
      </c>
      <c r="AC12" s="138"/>
      <c r="AD12" s="146">
        <v>5</v>
      </c>
      <c r="AE12" s="147" t="s">
        <v>8</v>
      </c>
      <c r="AF12" s="141">
        <f t="shared" si="6"/>
        <v>528.1</v>
      </c>
      <c r="AG12" s="141">
        <f t="shared" si="6"/>
        <v>17.399999999999999</v>
      </c>
      <c r="AH12" s="141">
        <f t="shared" si="7"/>
        <v>0</v>
      </c>
      <c r="AI12" s="108"/>
      <c r="AJ12" s="148">
        <v>5</v>
      </c>
      <c r="AK12" s="149" t="s">
        <v>8</v>
      </c>
      <c r="AL12" s="144">
        <f t="shared" si="8"/>
        <v>528.1</v>
      </c>
      <c r="AM12" s="145">
        <f t="shared" si="9"/>
        <v>0.96810265811182405</v>
      </c>
      <c r="AN12" s="144">
        <f t="shared" si="13"/>
        <v>17.399999999999999</v>
      </c>
      <c r="AO12" s="145">
        <f t="shared" si="10"/>
        <v>3.189734188817598E-2</v>
      </c>
      <c r="AP12" s="144">
        <f t="shared" si="14"/>
        <v>0</v>
      </c>
      <c r="AQ12" s="145">
        <f t="shared" si="11"/>
        <v>0</v>
      </c>
    </row>
    <row r="13" spans="1:43" x14ac:dyDescent="0.25">
      <c r="A13" s="156">
        <v>6</v>
      </c>
      <c r="B13" s="157" t="s">
        <v>9</v>
      </c>
      <c r="C13" s="264">
        <f>[6]April!C13+[3]April!J11</f>
        <v>0</v>
      </c>
      <c r="D13" s="260"/>
      <c r="E13" s="260">
        <v>0</v>
      </c>
      <c r="F13" s="87">
        <f t="shared" si="0"/>
        <v>0</v>
      </c>
      <c r="G13" s="264">
        <f>[6]April!G13+[3]April!Q11</f>
        <v>0</v>
      </c>
      <c r="H13" s="260"/>
      <c r="I13" s="260">
        <v>0</v>
      </c>
      <c r="J13" s="87">
        <f t="shared" si="1"/>
        <v>0</v>
      </c>
      <c r="K13" s="264">
        <v>3.7</v>
      </c>
      <c r="L13" s="260"/>
      <c r="M13" s="260">
        <v>0</v>
      </c>
      <c r="N13" s="87">
        <f t="shared" si="2"/>
        <v>3.7</v>
      </c>
      <c r="O13" s="264">
        <f>[6]April!C13+[3]April!X11</f>
        <v>0</v>
      </c>
      <c r="P13" s="260"/>
      <c r="Q13" s="260">
        <v>0</v>
      </c>
      <c r="R13" s="87">
        <f t="shared" si="3"/>
        <v>0</v>
      </c>
      <c r="S13" s="264"/>
      <c r="T13" s="260"/>
      <c r="U13" s="260">
        <v>0</v>
      </c>
      <c r="V13" s="87">
        <f t="shared" si="4"/>
        <v>0</v>
      </c>
      <c r="W13" s="264">
        <f>[6]April!W13+[3]April!AS11</f>
        <v>0</v>
      </c>
      <c r="X13" s="260"/>
      <c r="Y13" s="260">
        <v>0</v>
      </c>
      <c r="Z13" s="87">
        <f t="shared" si="5"/>
        <v>0</v>
      </c>
      <c r="AA13" s="94">
        <f t="shared" si="12"/>
        <v>3.7</v>
      </c>
      <c r="AB13" s="96" t="s">
        <v>53</v>
      </c>
      <c r="AC13" s="138"/>
      <c r="AD13" s="146">
        <v>6</v>
      </c>
      <c r="AE13" s="147" t="s">
        <v>9</v>
      </c>
      <c r="AF13" s="141">
        <f t="shared" si="6"/>
        <v>3.7</v>
      </c>
      <c r="AG13" s="141">
        <f t="shared" si="6"/>
        <v>0</v>
      </c>
      <c r="AH13" s="141">
        <f t="shared" si="7"/>
        <v>0</v>
      </c>
      <c r="AI13" s="108"/>
      <c r="AJ13" s="148">
        <v>6</v>
      </c>
      <c r="AK13" s="149" t="s">
        <v>9</v>
      </c>
      <c r="AL13" s="144">
        <f t="shared" si="8"/>
        <v>3.7</v>
      </c>
      <c r="AM13" s="145">
        <f t="shared" si="9"/>
        <v>1</v>
      </c>
      <c r="AN13" s="144">
        <f t="shared" si="13"/>
        <v>0</v>
      </c>
      <c r="AO13" s="145">
        <f t="shared" si="10"/>
        <v>0</v>
      </c>
      <c r="AP13" s="144">
        <f t="shared" si="14"/>
        <v>0</v>
      </c>
      <c r="AQ13" s="145">
        <f t="shared" si="11"/>
        <v>0</v>
      </c>
    </row>
    <row r="14" spans="1:43" x14ac:dyDescent="0.25">
      <c r="A14" s="156">
        <v>7</v>
      </c>
      <c r="B14" s="157" t="s">
        <v>10</v>
      </c>
      <c r="C14" s="264">
        <v>15</v>
      </c>
      <c r="D14" s="260">
        <v>3</v>
      </c>
      <c r="E14" s="260">
        <v>0</v>
      </c>
      <c r="F14" s="87">
        <f t="shared" si="0"/>
        <v>18</v>
      </c>
      <c r="G14" s="264">
        <v>220</v>
      </c>
      <c r="H14" s="260">
        <v>2</v>
      </c>
      <c r="I14" s="260">
        <v>0</v>
      </c>
      <c r="J14" s="87">
        <f t="shared" si="1"/>
        <v>222</v>
      </c>
      <c r="K14" s="264">
        <v>2.8</v>
      </c>
      <c r="L14" s="260">
        <v>1.8</v>
      </c>
      <c r="M14" s="260">
        <v>0</v>
      </c>
      <c r="N14" s="87">
        <f t="shared" si="2"/>
        <v>4.5999999999999996</v>
      </c>
      <c r="O14" s="264">
        <v>200</v>
      </c>
      <c r="P14" s="260">
        <f>4.3+1</f>
        <v>5.3</v>
      </c>
      <c r="Q14" s="260">
        <v>0</v>
      </c>
      <c r="R14" s="87">
        <f t="shared" si="3"/>
        <v>205.3</v>
      </c>
      <c r="S14" s="264">
        <f>30+100</f>
        <v>130</v>
      </c>
      <c r="T14" s="260">
        <f>3+3</f>
        <v>6</v>
      </c>
      <c r="U14" s="260">
        <v>0</v>
      </c>
      <c r="V14" s="87">
        <f t="shared" si="4"/>
        <v>136</v>
      </c>
      <c r="W14" s="264">
        <f>[6]April!W14+[3]April!AS12</f>
        <v>40</v>
      </c>
      <c r="X14" s="260">
        <v>3</v>
      </c>
      <c r="Y14" s="260">
        <v>0</v>
      </c>
      <c r="Z14" s="87">
        <f t="shared" si="5"/>
        <v>43</v>
      </c>
      <c r="AA14" s="94">
        <f t="shared" si="12"/>
        <v>628.9</v>
      </c>
      <c r="AB14" s="96" t="s">
        <v>53</v>
      </c>
      <c r="AC14" s="138"/>
      <c r="AD14" s="146">
        <v>7</v>
      </c>
      <c r="AE14" s="147" t="s">
        <v>10</v>
      </c>
      <c r="AF14" s="141">
        <f t="shared" si="6"/>
        <v>607.79999999999995</v>
      </c>
      <c r="AG14" s="141">
        <f t="shared" si="6"/>
        <v>21.1</v>
      </c>
      <c r="AH14" s="141">
        <f t="shared" si="7"/>
        <v>0</v>
      </c>
      <c r="AI14" s="108"/>
      <c r="AJ14" s="148">
        <v>7</v>
      </c>
      <c r="AK14" s="149" t="s">
        <v>10</v>
      </c>
      <c r="AL14" s="144">
        <f t="shared" si="8"/>
        <v>607.79999999999995</v>
      </c>
      <c r="AM14" s="145">
        <f t="shared" si="9"/>
        <v>0.96644935601844484</v>
      </c>
      <c r="AN14" s="144">
        <f t="shared" si="13"/>
        <v>21.1</v>
      </c>
      <c r="AO14" s="145">
        <f t="shared" si="10"/>
        <v>3.3550643981555099E-2</v>
      </c>
      <c r="AP14" s="144">
        <f t="shared" si="14"/>
        <v>0</v>
      </c>
      <c r="AQ14" s="145">
        <f t="shared" si="11"/>
        <v>0</v>
      </c>
    </row>
    <row r="15" spans="1:43" x14ac:dyDescent="0.25">
      <c r="A15" s="156">
        <v>8</v>
      </c>
      <c r="B15" s="157" t="s">
        <v>11</v>
      </c>
      <c r="C15" s="264">
        <f>[6]April!C15+[3]April!J13</f>
        <v>110</v>
      </c>
      <c r="D15" s="260">
        <f>5.1+1</f>
        <v>6.1</v>
      </c>
      <c r="E15" s="260">
        <v>0</v>
      </c>
      <c r="F15" s="87">
        <f t="shared" si="0"/>
        <v>116.1</v>
      </c>
      <c r="G15" s="264">
        <f>[6]April!G15+[3]April!Q13</f>
        <v>15.2</v>
      </c>
      <c r="H15" s="260">
        <v>1.4</v>
      </c>
      <c r="I15" s="260">
        <v>0</v>
      </c>
      <c r="J15" s="87">
        <f t="shared" si="1"/>
        <v>16.599999999999998</v>
      </c>
      <c r="K15" s="264">
        <v>2.9</v>
      </c>
      <c r="L15" s="260">
        <v>1.9</v>
      </c>
      <c r="M15" s="260">
        <v>0</v>
      </c>
      <c r="N15" s="87">
        <f t="shared" si="2"/>
        <v>4.8</v>
      </c>
      <c r="O15" s="264">
        <f>[6]April!C15+[3]April!X13</f>
        <v>10</v>
      </c>
      <c r="P15" s="260"/>
      <c r="Q15" s="260">
        <v>0</v>
      </c>
      <c r="R15" s="87">
        <f t="shared" si="3"/>
        <v>10</v>
      </c>
      <c r="S15" s="264">
        <v>195</v>
      </c>
      <c r="T15" s="260" t="s">
        <v>147</v>
      </c>
      <c r="U15" s="260">
        <v>0</v>
      </c>
      <c r="V15" s="87">
        <f t="shared" si="4"/>
        <v>195</v>
      </c>
      <c r="W15" s="264">
        <v>25</v>
      </c>
      <c r="X15" s="260">
        <v>3</v>
      </c>
      <c r="Y15" s="260">
        <v>0</v>
      </c>
      <c r="Z15" s="87">
        <f t="shared" si="5"/>
        <v>28</v>
      </c>
      <c r="AA15" s="94">
        <f t="shared" si="12"/>
        <v>370.5</v>
      </c>
      <c r="AB15" s="96" t="s">
        <v>53</v>
      </c>
      <c r="AC15" s="138"/>
      <c r="AD15" s="146">
        <v>8</v>
      </c>
      <c r="AE15" s="147" t="s">
        <v>11</v>
      </c>
      <c r="AF15" s="141">
        <f t="shared" si="6"/>
        <v>358.1</v>
      </c>
      <c r="AG15" s="141" t="e">
        <f t="shared" si="6"/>
        <v>#VALUE!</v>
      </c>
      <c r="AH15" s="141">
        <f t="shared" si="7"/>
        <v>0</v>
      </c>
      <c r="AI15" s="108"/>
      <c r="AJ15" s="148">
        <v>8</v>
      </c>
      <c r="AK15" s="149" t="s">
        <v>11</v>
      </c>
      <c r="AL15" s="144">
        <f t="shared" si="8"/>
        <v>358.1</v>
      </c>
      <c r="AM15" s="145">
        <f t="shared" si="9"/>
        <v>0.96653171390013504</v>
      </c>
      <c r="AN15" s="144" t="e">
        <f t="shared" si="13"/>
        <v>#VALUE!</v>
      </c>
      <c r="AO15" s="145" t="e">
        <f t="shared" si="10"/>
        <v>#VALUE!</v>
      </c>
      <c r="AP15" s="144">
        <f t="shared" si="14"/>
        <v>0</v>
      </c>
      <c r="AQ15" s="145">
        <f t="shared" si="11"/>
        <v>0</v>
      </c>
    </row>
    <row r="16" spans="1:43" x14ac:dyDescent="0.25">
      <c r="A16" s="156">
        <v>9</v>
      </c>
      <c r="B16" s="157" t="s">
        <v>12</v>
      </c>
      <c r="C16" s="264">
        <v>20</v>
      </c>
      <c r="D16" s="260">
        <v>3.9</v>
      </c>
      <c r="E16" s="260">
        <v>0</v>
      </c>
      <c r="F16" s="87">
        <f t="shared" si="0"/>
        <v>23.9</v>
      </c>
      <c r="G16" s="264">
        <f>[6]April!G16+[3]April!Q14</f>
        <v>213.4</v>
      </c>
      <c r="H16" s="260">
        <f>0.6+2</f>
        <v>2.6</v>
      </c>
      <c r="I16" s="260">
        <v>0</v>
      </c>
      <c r="J16" s="87">
        <f t="shared" si="1"/>
        <v>216</v>
      </c>
      <c r="K16" s="264">
        <v>2.1</v>
      </c>
      <c r="L16" s="260"/>
      <c r="M16" s="260">
        <v>0</v>
      </c>
      <c r="N16" s="87">
        <f t="shared" si="2"/>
        <v>2.1</v>
      </c>
      <c r="O16" s="264">
        <v>190</v>
      </c>
      <c r="P16" s="260">
        <v>1</v>
      </c>
      <c r="Q16" s="260">
        <v>0</v>
      </c>
      <c r="R16" s="87">
        <f t="shared" si="3"/>
        <v>191</v>
      </c>
      <c r="S16" s="264">
        <f>30+100</f>
        <v>130</v>
      </c>
      <c r="T16" s="260">
        <f>2+2</f>
        <v>4</v>
      </c>
      <c r="U16" s="260">
        <v>0</v>
      </c>
      <c r="V16" s="87">
        <f t="shared" si="4"/>
        <v>134</v>
      </c>
      <c r="W16" s="264">
        <v>35</v>
      </c>
      <c r="X16" s="260">
        <v>2</v>
      </c>
      <c r="Y16" s="260">
        <v>0</v>
      </c>
      <c r="Z16" s="87">
        <f t="shared" si="5"/>
        <v>37</v>
      </c>
      <c r="AA16" s="94">
        <f t="shared" si="12"/>
        <v>604</v>
      </c>
      <c r="AB16" s="96" t="s">
        <v>53</v>
      </c>
      <c r="AC16" s="138"/>
      <c r="AD16" s="146">
        <v>9</v>
      </c>
      <c r="AE16" s="147" t="s">
        <v>12</v>
      </c>
      <c r="AF16" s="141">
        <f t="shared" si="6"/>
        <v>590.5</v>
      </c>
      <c r="AG16" s="141">
        <f t="shared" si="6"/>
        <v>13.5</v>
      </c>
      <c r="AH16" s="141">
        <f t="shared" si="7"/>
        <v>0</v>
      </c>
      <c r="AI16" s="108"/>
      <c r="AJ16" s="148">
        <v>9</v>
      </c>
      <c r="AK16" s="149" t="s">
        <v>12</v>
      </c>
      <c r="AL16" s="144">
        <f t="shared" si="8"/>
        <v>590.5</v>
      </c>
      <c r="AM16" s="145">
        <f t="shared" si="9"/>
        <v>0.97764900662251653</v>
      </c>
      <c r="AN16" s="144">
        <f t="shared" si="13"/>
        <v>13.5</v>
      </c>
      <c r="AO16" s="145">
        <f t="shared" si="10"/>
        <v>2.2350993377483443E-2</v>
      </c>
      <c r="AP16" s="144">
        <f t="shared" si="14"/>
        <v>0</v>
      </c>
      <c r="AQ16" s="145">
        <f t="shared" si="11"/>
        <v>0</v>
      </c>
    </row>
    <row r="17" spans="1:43" x14ac:dyDescent="0.25">
      <c r="A17" s="156">
        <v>10</v>
      </c>
      <c r="B17" s="157" t="s">
        <v>13</v>
      </c>
      <c r="C17" s="264">
        <f>[6]April!C17+[3]April!J15</f>
        <v>110</v>
      </c>
      <c r="D17" s="260">
        <f>11.5+1</f>
        <v>12.5</v>
      </c>
      <c r="E17" s="260">
        <v>0</v>
      </c>
      <c r="F17" s="87">
        <f t="shared" si="0"/>
        <v>122.5</v>
      </c>
      <c r="G17" s="264">
        <f>[6]April!G17+[3]April!Q15</f>
        <v>18.100000000000001</v>
      </c>
      <c r="H17" s="260">
        <v>1.7</v>
      </c>
      <c r="I17" s="260">
        <v>0</v>
      </c>
      <c r="J17" s="87">
        <f t="shared" si="1"/>
        <v>19.8</v>
      </c>
      <c r="K17" s="264">
        <v>4.3</v>
      </c>
      <c r="L17" s="260"/>
      <c r="M17" s="260">
        <v>0</v>
      </c>
      <c r="N17" s="87">
        <f t="shared" si="2"/>
        <v>4.3</v>
      </c>
      <c r="O17" s="264">
        <f>[6]April!C17+[3]April!X15</f>
        <v>10</v>
      </c>
      <c r="P17" s="260">
        <v>3.5</v>
      </c>
      <c r="Q17" s="260">
        <v>0</v>
      </c>
      <c r="R17" s="87">
        <f t="shared" si="3"/>
        <v>13.5</v>
      </c>
      <c r="S17" s="264">
        <f>30+50</f>
        <v>80</v>
      </c>
      <c r="T17" s="260">
        <f>2+1</f>
        <v>3</v>
      </c>
      <c r="U17" s="260">
        <v>0</v>
      </c>
      <c r="V17" s="87">
        <f t="shared" si="4"/>
        <v>83</v>
      </c>
      <c r="W17" s="264">
        <f>[6]April!W17+[3]April!AS15</f>
        <v>30</v>
      </c>
      <c r="X17" s="260">
        <v>2</v>
      </c>
      <c r="Y17" s="260">
        <v>0</v>
      </c>
      <c r="Z17" s="87">
        <f t="shared" si="5"/>
        <v>32</v>
      </c>
      <c r="AA17" s="94">
        <f t="shared" si="12"/>
        <v>275.10000000000002</v>
      </c>
      <c r="AB17" s="96" t="s">
        <v>53</v>
      </c>
      <c r="AC17" s="138"/>
      <c r="AD17" s="146">
        <v>10</v>
      </c>
      <c r="AE17" s="147" t="s">
        <v>13</v>
      </c>
      <c r="AF17" s="141">
        <f>(C17+G17+K17+O17+S17+W17)</f>
        <v>252.4</v>
      </c>
      <c r="AG17" s="141">
        <f>(D17+H17+L17+P17+T17+X17)</f>
        <v>22.7</v>
      </c>
      <c r="AH17" s="141">
        <f>(E17+I17+M17+Q17++U17+Y17)</f>
        <v>0</v>
      </c>
      <c r="AI17" s="108"/>
      <c r="AJ17" s="148">
        <v>10</v>
      </c>
      <c r="AK17" s="149" t="s">
        <v>13</v>
      </c>
      <c r="AL17" s="144">
        <f t="shared" si="8"/>
        <v>252.4</v>
      </c>
      <c r="AM17" s="145">
        <f t="shared" si="9"/>
        <v>0.91748455107233728</v>
      </c>
      <c r="AN17" s="144">
        <f t="shared" si="13"/>
        <v>22.7</v>
      </c>
      <c r="AO17" s="145">
        <f t="shared" si="10"/>
        <v>8.251544892766266E-2</v>
      </c>
      <c r="AP17" s="144">
        <f t="shared" si="14"/>
        <v>0</v>
      </c>
      <c r="AQ17" s="145">
        <f t="shared" si="11"/>
        <v>0</v>
      </c>
    </row>
    <row r="18" spans="1:43" x14ac:dyDescent="0.25">
      <c r="A18" s="156">
        <v>11</v>
      </c>
      <c r="B18" s="157" t="s">
        <v>14</v>
      </c>
      <c r="C18" s="264">
        <v>30</v>
      </c>
      <c r="D18" s="260">
        <v>3.2</v>
      </c>
      <c r="E18" s="260">
        <v>0</v>
      </c>
      <c r="F18" s="87">
        <f t="shared" si="0"/>
        <v>33.200000000000003</v>
      </c>
      <c r="G18" s="264">
        <f>[6]April!G18+[3]April!Q16</f>
        <v>13.4</v>
      </c>
      <c r="H18" s="260">
        <v>0.4</v>
      </c>
      <c r="I18" s="260">
        <v>0</v>
      </c>
      <c r="J18" s="87">
        <f t="shared" si="1"/>
        <v>13.8</v>
      </c>
      <c r="K18" s="264">
        <v>2.8</v>
      </c>
      <c r="L18" s="260">
        <v>3.1</v>
      </c>
      <c r="M18" s="260">
        <v>0</v>
      </c>
      <c r="N18" s="87">
        <f t="shared" si="2"/>
        <v>5.9</v>
      </c>
      <c r="O18" s="264">
        <v>240</v>
      </c>
      <c r="P18" s="260">
        <f>5.4+1</f>
        <v>6.4</v>
      </c>
      <c r="Q18" s="260">
        <v>0</v>
      </c>
      <c r="R18" s="87">
        <f t="shared" si="3"/>
        <v>246.4</v>
      </c>
      <c r="S18" s="264">
        <f>30+100</f>
        <v>130</v>
      </c>
      <c r="T18" s="260">
        <f>1+1</f>
        <v>2</v>
      </c>
      <c r="U18" s="260">
        <v>0</v>
      </c>
      <c r="V18" s="87">
        <f t="shared" si="4"/>
        <v>132</v>
      </c>
      <c r="W18" s="264">
        <f>[6]April!W18+[3]April!AS16</f>
        <v>40</v>
      </c>
      <c r="X18" s="260">
        <v>1</v>
      </c>
      <c r="Y18" s="260">
        <v>0</v>
      </c>
      <c r="Z18" s="87">
        <f t="shared" si="5"/>
        <v>41</v>
      </c>
      <c r="AA18" s="94">
        <f t="shared" si="12"/>
        <v>472.3</v>
      </c>
      <c r="AB18" s="96" t="s">
        <v>53</v>
      </c>
      <c r="AC18" s="138"/>
      <c r="AD18" s="146">
        <v>11</v>
      </c>
      <c r="AE18" s="147" t="s">
        <v>14</v>
      </c>
      <c r="AF18" s="141">
        <f t="shared" ref="AF18:AG38" si="15">(C18+G18+K18+O18+S18+W18)</f>
        <v>456.2</v>
      </c>
      <c r="AG18" s="141">
        <f t="shared" si="15"/>
        <v>16.100000000000001</v>
      </c>
      <c r="AH18" s="141">
        <f t="shared" ref="AH18:AH38" si="16">(E18+I18+M18+Q18++U18+Y18)</f>
        <v>0</v>
      </c>
      <c r="AI18" s="108"/>
      <c r="AJ18" s="148">
        <v>11</v>
      </c>
      <c r="AK18" s="149" t="s">
        <v>14</v>
      </c>
      <c r="AL18" s="144">
        <f t="shared" si="8"/>
        <v>456.2</v>
      </c>
      <c r="AM18" s="145">
        <f t="shared" si="9"/>
        <v>0.9659114969299174</v>
      </c>
      <c r="AN18" s="144">
        <f t="shared" si="13"/>
        <v>16.100000000000001</v>
      </c>
      <c r="AO18" s="145">
        <f t="shared" si="10"/>
        <v>3.4088503070082578E-2</v>
      </c>
      <c r="AP18" s="144">
        <f t="shared" si="14"/>
        <v>0</v>
      </c>
      <c r="AQ18" s="145">
        <f t="shared" si="11"/>
        <v>0</v>
      </c>
    </row>
    <row r="19" spans="1:43" x14ac:dyDescent="0.25">
      <c r="A19" s="156">
        <v>12</v>
      </c>
      <c r="B19" s="157" t="s">
        <v>15</v>
      </c>
      <c r="C19" s="264">
        <f>[6]April!C19+[3]April!J17</f>
        <v>110</v>
      </c>
      <c r="D19" s="260">
        <f>1+1</f>
        <v>2</v>
      </c>
      <c r="E19" s="260">
        <v>0</v>
      </c>
      <c r="F19" s="87">
        <f t="shared" si="0"/>
        <v>112</v>
      </c>
      <c r="G19" s="264">
        <v>250</v>
      </c>
      <c r="H19" s="260">
        <v>1</v>
      </c>
      <c r="I19" s="260">
        <v>0</v>
      </c>
      <c r="J19" s="87">
        <f t="shared" si="1"/>
        <v>251</v>
      </c>
      <c r="K19" s="264">
        <v>3.8</v>
      </c>
      <c r="L19" s="260"/>
      <c r="M19" s="260">
        <v>0</v>
      </c>
      <c r="N19" s="87">
        <f t="shared" si="2"/>
        <v>3.8</v>
      </c>
      <c r="O19" s="264">
        <f>[6]April!C19+[3]April!X17</f>
        <v>210</v>
      </c>
      <c r="P19" s="260">
        <f>1.9+1</f>
        <v>2.9</v>
      </c>
      <c r="Q19" s="260">
        <v>0</v>
      </c>
      <c r="R19" s="87">
        <f t="shared" si="3"/>
        <v>212.9</v>
      </c>
      <c r="S19" s="264">
        <f>30+50</f>
        <v>80</v>
      </c>
      <c r="T19" s="260">
        <f>1+2</f>
        <v>3</v>
      </c>
      <c r="U19" s="260">
        <v>0</v>
      </c>
      <c r="V19" s="87">
        <f t="shared" si="4"/>
        <v>83</v>
      </c>
      <c r="W19" s="264">
        <f>[6]April!W19+[3]April!AS17</f>
        <v>30</v>
      </c>
      <c r="X19" s="260">
        <v>1</v>
      </c>
      <c r="Y19" s="260">
        <v>0</v>
      </c>
      <c r="Z19" s="87">
        <f t="shared" si="5"/>
        <v>31</v>
      </c>
      <c r="AA19" s="94">
        <f t="shared" si="12"/>
        <v>693.7</v>
      </c>
      <c r="AB19" s="96" t="s">
        <v>53</v>
      </c>
      <c r="AC19" s="138"/>
      <c r="AD19" s="146">
        <v>12</v>
      </c>
      <c r="AE19" s="147" t="s">
        <v>15</v>
      </c>
      <c r="AF19" s="141">
        <f t="shared" si="15"/>
        <v>683.8</v>
      </c>
      <c r="AG19" s="141">
        <f t="shared" si="15"/>
        <v>9.9</v>
      </c>
      <c r="AH19" s="141">
        <f t="shared" si="16"/>
        <v>0</v>
      </c>
      <c r="AI19" s="108"/>
      <c r="AJ19" s="148">
        <v>12</v>
      </c>
      <c r="AK19" s="149" t="s">
        <v>15</v>
      </c>
      <c r="AL19" s="144">
        <f t="shared" si="8"/>
        <v>683.8</v>
      </c>
      <c r="AM19" s="145">
        <f t="shared" si="9"/>
        <v>0.98572870116765154</v>
      </c>
      <c r="AN19" s="144">
        <f t="shared" si="13"/>
        <v>9.9</v>
      </c>
      <c r="AO19" s="145">
        <f t="shared" si="10"/>
        <v>1.4271298832348277E-2</v>
      </c>
      <c r="AP19" s="144">
        <f t="shared" si="14"/>
        <v>0</v>
      </c>
      <c r="AQ19" s="145">
        <f t="shared" si="11"/>
        <v>0</v>
      </c>
    </row>
    <row r="20" spans="1:43" x14ac:dyDescent="0.25">
      <c r="A20" s="156">
        <v>13</v>
      </c>
      <c r="B20" s="157" t="s">
        <v>16</v>
      </c>
      <c r="C20" s="264">
        <f>[6]April!C20+[3]April!J18</f>
        <v>0</v>
      </c>
      <c r="D20" s="260"/>
      <c r="E20" s="260">
        <v>0</v>
      </c>
      <c r="F20" s="87">
        <f t="shared" si="0"/>
        <v>0</v>
      </c>
      <c r="G20" s="264">
        <f>[6]April!G20+[3]April!Q18</f>
        <v>0</v>
      </c>
      <c r="H20" s="260"/>
      <c r="I20" s="260">
        <v>0</v>
      </c>
      <c r="J20" s="87">
        <f t="shared" si="1"/>
        <v>0</v>
      </c>
      <c r="K20" s="264">
        <v>3.4</v>
      </c>
      <c r="L20" s="260"/>
      <c r="M20" s="260">
        <v>0</v>
      </c>
      <c r="N20" s="87">
        <f t="shared" si="2"/>
        <v>3.4</v>
      </c>
      <c r="O20" s="264">
        <f>[6]April!C20+[3]April!X18</f>
        <v>0</v>
      </c>
      <c r="P20" s="260"/>
      <c r="Q20" s="260">
        <v>0</v>
      </c>
      <c r="R20" s="87">
        <f t="shared" si="3"/>
        <v>0</v>
      </c>
      <c r="S20" s="264"/>
      <c r="T20" s="260"/>
      <c r="U20" s="260">
        <v>0</v>
      </c>
      <c r="V20" s="87">
        <f t="shared" si="4"/>
        <v>0</v>
      </c>
      <c r="W20" s="264">
        <f>[6]April!W20+[3]April!AS18</f>
        <v>0</v>
      </c>
      <c r="X20" s="260"/>
      <c r="Y20" s="260">
        <v>0</v>
      </c>
      <c r="Z20" s="87">
        <f t="shared" si="5"/>
        <v>0</v>
      </c>
      <c r="AA20" s="94">
        <f t="shared" si="12"/>
        <v>3.4</v>
      </c>
      <c r="AB20" s="96" t="s">
        <v>53</v>
      </c>
      <c r="AC20" s="138"/>
      <c r="AD20" s="146">
        <v>13</v>
      </c>
      <c r="AE20" s="147" t="s">
        <v>16</v>
      </c>
      <c r="AF20" s="141">
        <f t="shared" si="15"/>
        <v>3.4</v>
      </c>
      <c r="AG20" s="141">
        <f t="shared" si="15"/>
        <v>0</v>
      </c>
      <c r="AH20" s="141">
        <f t="shared" si="16"/>
        <v>0</v>
      </c>
      <c r="AI20" s="108"/>
      <c r="AJ20" s="148">
        <v>13</v>
      </c>
      <c r="AK20" s="149" t="s">
        <v>16</v>
      </c>
      <c r="AL20" s="144">
        <f t="shared" si="8"/>
        <v>3.4</v>
      </c>
      <c r="AM20" s="145">
        <f t="shared" si="9"/>
        <v>1</v>
      </c>
      <c r="AN20" s="144">
        <f t="shared" si="13"/>
        <v>0</v>
      </c>
      <c r="AO20" s="145">
        <f t="shared" si="10"/>
        <v>0</v>
      </c>
      <c r="AP20" s="144">
        <f t="shared" si="14"/>
        <v>0</v>
      </c>
      <c r="AQ20" s="145">
        <f t="shared" si="11"/>
        <v>0</v>
      </c>
    </row>
    <row r="21" spans="1:43" x14ac:dyDescent="0.25">
      <c r="A21" s="156">
        <v>14</v>
      </c>
      <c r="B21" s="157" t="s">
        <v>17</v>
      </c>
      <c r="C21" s="264">
        <f>[6]April!C21+[3]April!J19</f>
        <v>110</v>
      </c>
      <c r="D21" s="260">
        <f>5.4+1</f>
        <v>6.4</v>
      </c>
      <c r="E21" s="260">
        <v>0</v>
      </c>
      <c r="F21" s="87">
        <f t="shared" si="0"/>
        <v>116.4</v>
      </c>
      <c r="G21" s="264">
        <f>[6]April!G21+[3]April!Q19</f>
        <v>211.8</v>
      </c>
      <c r="H21" s="260">
        <f>1.5+1</f>
        <v>2.5</v>
      </c>
      <c r="I21" s="260">
        <v>0</v>
      </c>
      <c r="J21" s="87">
        <f t="shared" si="1"/>
        <v>214.3</v>
      </c>
      <c r="K21" s="264">
        <v>3.1</v>
      </c>
      <c r="L21" s="260">
        <v>2.5</v>
      </c>
      <c r="M21" s="260">
        <v>0</v>
      </c>
      <c r="N21" s="87">
        <f t="shared" si="2"/>
        <v>5.6</v>
      </c>
      <c r="O21" s="264">
        <v>230</v>
      </c>
      <c r="P21" s="260">
        <v>1</v>
      </c>
      <c r="Q21" s="260">
        <v>0</v>
      </c>
      <c r="R21" s="87">
        <f t="shared" si="3"/>
        <v>231</v>
      </c>
      <c r="S21" s="264">
        <f>30+150</f>
        <v>180</v>
      </c>
      <c r="T21" s="260">
        <v>2</v>
      </c>
      <c r="U21" s="260">
        <v>0</v>
      </c>
      <c r="V21" s="87">
        <f t="shared" si="4"/>
        <v>182</v>
      </c>
      <c r="W21" s="264">
        <v>55</v>
      </c>
      <c r="X21" s="260"/>
      <c r="Y21" s="260">
        <v>0</v>
      </c>
      <c r="Z21" s="87">
        <f t="shared" si="5"/>
        <v>55</v>
      </c>
      <c r="AA21" s="94">
        <f t="shared" si="12"/>
        <v>804.30000000000007</v>
      </c>
      <c r="AB21" s="96" t="s">
        <v>53</v>
      </c>
      <c r="AC21" s="138"/>
      <c r="AD21" s="146">
        <v>14</v>
      </c>
      <c r="AE21" s="147" t="s">
        <v>17</v>
      </c>
      <c r="AF21" s="141">
        <f t="shared" si="15"/>
        <v>789.90000000000009</v>
      </c>
      <c r="AG21" s="141">
        <f t="shared" si="15"/>
        <v>14.4</v>
      </c>
      <c r="AH21" s="141">
        <f t="shared" si="16"/>
        <v>0</v>
      </c>
      <c r="AI21" s="108"/>
      <c r="AJ21" s="148">
        <v>14</v>
      </c>
      <c r="AK21" s="149" t="s">
        <v>17</v>
      </c>
      <c r="AL21" s="144">
        <f t="shared" si="8"/>
        <v>789.90000000000009</v>
      </c>
      <c r="AM21" s="145">
        <f t="shared" si="9"/>
        <v>0.98209623274897428</v>
      </c>
      <c r="AN21" s="144">
        <f t="shared" si="13"/>
        <v>14.4</v>
      </c>
      <c r="AO21" s="145">
        <f t="shared" si="10"/>
        <v>1.7903767251025736E-2</v>
      </c>
      <c r="AP21" s="144">
        <f t="shared" si="14"/>
        <v>0</v>
      </c>
      <c r="AQ21" s="145">
        <f t="shared" si="11"/>
        <v>0</v>
      </c>
    </row>
    <row r="22" spans="1:43" x14ac:dyDescent="0.25">
      <c r="A22" s="156">
        <v>15</v>
      </c>
      <c r="B22" s="157" t="s">
        <v>18</v>
      </c>
      <c r="C22" s="264">
        <f>[6]April!C22+[3]April!J20</f>
        <v>10</v>
      </c>
      <c r="D22" s="260">
        <v>3.9</v>
      </c>
      <c r="E22" s="260">
        <v>0</v>
      </c>
      <c r="F22" s="87">
        <f t="shared" si="0"/>
        <v>13.9</v>
      </c>
      <c r="G22" s="264">
        <f>[6]April!G22+[3]April!Q20</f>
        <v>10</v>
      </c>
      <c r="H22" s="260"/>
      <c r="I22" s="260">
        <v>0</v>
      </c>
      <c r="J22" s="87">
        <f t="shared" si="1"/>
        <v>10</v>
      </c>
      <c r="K22" s="264">
        <v>3</v>
      </c>
      <c r="L22" s="260">
        <v>4.4000000000000004</v>
      </c>
      <c r="M22" s="260">
        <v>0</v>
      </c>
      <c r="N22" s="87">
        <f t="shared" si="2"/>
        <v>7.4</v>
      </c>
      <c r="O22" s="264">
        <f>[6]April!C22+[3]April!X20</f>
        <v>210</v>
      </c>
      <c r="P22" s="260">
        <v>1</v>
      </c>
      <c r="Q22" s="260">
        <v>0</v>
      </c>
      <c r="R22" s="87">
        <f t="shared" si="3"/>
        <v>211</v>
      </c>
      <c r="S22" s="264">
        <f>30+100</f>
        <v>130</v>
      </c>
      <c r="T22" s="260">
        <v>1</v>
      </c>
      <c r="U22" s="260">
        <v>0</v>
      </c>
      <c r="V22" s="87">
        <f t="shared" si="4"/>
        <v>131</v>
      </c>
      <c r="W22" s="264">
        <f>[6]April!W22+[3]April!AS20</f>
        <v>40</v>
      </c>
      <c r="X22" s="260"/>
      <c r="Y22" s="260">
        <v>0</v>
      </c>
      <c r="Z22" s="87">
        <f t="shared" si="5"/>
        <v>40</v>
      </c>
      <c r="AA22" s="94">
        <f t="shared" si="12"/>
        <v>413.3</v>
      </c>
      <c r="AB22" s="96" t="s">
        <v>53</v>
      </c>
      <c r="AC22" s="138"/>
      <c r="AD22" s="146">
        <v>15</v>
      </c>
      <c r="AE22" s="147" t="s">
        <v>18</v>
      </c>
      <c r="AF22" s="141">
        <f t="shared" si="15"/>
        <v>403</v>
      </c>
      <c r="AG22" s="141">
        <f t="shared" si="15"/>
        <v>10.3</v>
      </c>
      <c r="AH22" s="141">
        <f t="shared" si="16"/>
        <v>0</v>
      </c>
      <c r="AI22" s="108"/>
      <c r="AJ22" s="148">
        <v>15</v>
      </c>
      <c r="AK22" s="149" t="s">
        <v>18</v>
      </c>
      <c r="AL22" s="144">
        <f t="shared" si="8"/>
        <v>403</v>
      </c>
      <c r="AM22" s="145">
        <f t="shared" si="9"/>
        <v>0.97507863537382045</v>
      </c>
      <c r="AN22" s="144">
        <f t="shared" si="13"/>
        <v>10.3</v>
      </c>
      <c r="AO22" s="145">
        <f t="shared" si="10"/>
        <v>2.4921364626179533E-2</v>
      </c>
      <c r="AP22" s="144">
        <f t="shared" si="14"/>
        <v>0</v>
      </c>
      <c r="AQ22" s="145">
        <f t="shared" si="11"/>
        <v>0</v>
      </c>
    </row>
    <row r="23" spans="1:43" x14ac:dyDescent="0.25">
      <c r="A23" s="156">
        <v>16</v>
      </c>
      <c r="B23" s="157" t="s">
        <v>19</v>
      </c>
      <c r="C23" s="264">
        <v>24</v>
      </c>
      <c r="D23" s="260">
        <f>6.9+1</f>
        <v>7.9</v>
      </c>
      <c r="E23" s="260">
        <v>0</v>
      </c>
      <c r="F23" s="87">
        <f t="shared" si="0"/>
        <v>31.9</v>
      </c>
      <c r="G23" s="264">
        <f>[6]April!G23+[3]April!Q21</f>
        <v>214.5</v>
      </c>
      <c r="H23" s="260">
        <f>3+2</f>
        <v>5</v>
      </c>
      <c r="I23" s="260">
        <v>0</v>
      </c>
      <c r="J23" s="87">
        <f t="shared" si="1"/>
        <v>219.5</v>
      </c>
      <c r="K23" s="264">
        <v>2.8</v>
      </c>
      <c r="L23" s="260"/>
      <c r="M23" s="260">
        <v>0</v>
      </c>
      <c r="N23" s="87">
        <f t="shared" si="2"/>
        <v>2.8</v>
      </c>
      <c r="O23" s="264">
        <v>30</v>
      </c>
      <c r="P23" s="260">
        <v>3.5</v>
      </c>
      <c r="Q23" s="260">
        <v>0</v>
      </c>
      <c r="R23" s="87">
        <f t="shared" si="3"/>
        <v>33.5</v>
      </c>
      <c r="S23" s="264">
        <f>30+50</f>
        <v>80</v>
      </c>
      <c r="T23" s="260">
        <v>1</v>
      </c>
      <c r="U23" s="260">
        <v>0</v>
      </c>
      <c r="V23" s="87">
        <f t="shared" si="4"/>
        <v>81</v>
      </c>
      <c r="W23" s="264">
        <f>[6]April!W23+[3]April!AS21</f>
        <v>30</v>
      </c>
      <c r="X23" s="260"/>
      <c r="Y23" s="260">
        <v>0</v>
      </c>
      <c r="Z23" s="87">
        <f t="shared" si="5"/>
        <v>30</v>
      </c>
      <c r="AA23" s="94">
        <f t="shared" si="12"/>
        <v>398.70000000000005</v>
      </c>
      <c r="AB23" s="96" t="s">
        <v>53</v>
      </c>
      <c r="AC23" s="138"/>
      <c r="AD23" s="146">
        <v>16</v>
      </c>
      <c r="AE23" s="147" t="s">
        <v>19</v>
      </c>
      <c r="AF23" s="141">
        <f t="shared" si="15"/>
        <v>381.3</v>
      </c>
      <c r="AG23" s="141">
        <f t="shared" si="15"/>
        <v>17.399999999999999</v>
      </c>
      <c r="AH23" s="141">
        <f t="shared" si="16"/>
        <v>0</v>
      </c>
      <c r="AI23" s="108"/>
      <c r="AJ23" s="148">
        <v>16</v>
      </c>
      <c r="AK23" s="149" t="s">
        <v>19</v>
      </c>
      <c r="AL23" s="144">
        <f t="shared" si="8"/>
        <v>381.3</v>
      </c>
      <c r="AM23" s="145">
        <f t="shared" si="9"/>
        <v>0.95635816403310747</v>
      </c>
      <c r="AN23" s="144">
        <f t="shared" si="13"/>
        <v>17.399999999999999</v>
      </c>
      <c r="AO23" s="145">
        <f t="shared" si="10"/>
        <v>4.3641835966892389E-2</v>
      </c>
      <c r="AP23" s="144">
        <f t="shared" si="14"/>
        <v>0</v>
      </c>
      <c r="AQ23" s="145">
        <f t="shared" si="11"/>
        <v>0</v>
      </c>
    </row>
    <row r="24" spans="1:43" x14ac:dyDescent="0.25">
      <c r="A24" s="156">
        <v>17</v>
      </c>
      <c r="B24" s="157" t="s">
        <v>20</v>
      </c>
      <c r="C24" s="264">
        <f>[6]April!C24+[3]April!J22</f>
        <v>10</v>
      </c>
      <c r="D24" s="260">
        <v>3.2</v>
      </c>
      <c r="E24" s="260">
        <v>0</v>
      </c>
      <c r="F24" s="87">
        <f t="shared" si="0"/>
        <v>13.2</v>
      </c>
      <c r="G24" s="264">
        <f>[6]April!G24+[3]April!Q22</f>
        <v>13.4</v>
      </c>
      <c r="H24" s="260">
        <v>3.3</v>
      </c>
      <c r="I24" s="260">
        <v>0</v>
      </c>
      <c r="J24" s="87">
        <f t="shared" si="1"/>
        <v>16.7</v>
      </c>
      <c r="K24" s="264">
        <v>2.4</v>
      </c>
      <c r="L24" s="260"/>
      <c r="M24" s="260">
        <v>0</v>
      </c>
      <c r="N24" s="87">
        <f t="shared" si="2"/>
        <v>2.4</v>
      </c>
      <c r="O24" s="264">
        <f>[6]April!C24+[3]April!X22</f>
        <v>210</v>
      </c>
      <c r="P24" s="260">
        <f>3.7+1</f>
        <v>4.7</v>
      </c>
      <c r="Q24" s="260">
        <v>0</v>
      </c>
      <c r="R24" s="87">
        <f t="shared" si="3"/>
        <v>214.7</v>
      </c>
      <c r="S24" s="264">
        <v>135</v>
      </c>
      <c r="T24" s="260">
        <v>1</v>
      </c>
      <c r="U24" s="260">
        <v>0</v>
      </c>
      <c r="V24" s="87">
        <f t="shared" si="4"/>
        <v>136</v>
      </c>
      <c r="W24" s="264">
        <f>[6]April!W24+[3]April!AS22</f>
        <v>30</v>
      </c>
      <c r="X24" s="260"/>
      <c r="Y24" s="260">
        <v>0</v>
      </c>
      <c r="Z24" s="87">
        <f t="shared" si="5"/>
        <v>30</v>
      </c>
      <c r="AA24" s="94">
        <f t="shared" si="12"/>
        <v>413</v>
      </c>
      <c r="AB24" s="96" t="s">
        <v>53</v>
      </c>
      <c r="AC24" s="138"/>
      <c r="AD24" s="146">
        <v>17</v>
      </c>
      <c r="AE24" s="147" t="s">
        <v>20</v>
      </c>
      <c r="AF24" s="141">
        <f t="shared" si="15"/>
        <v>400.8</v>
      </c>
      <c r="AG24" s="141">
        <f t="shared" si="15"/>
        <v>12.2</v>
      </c>
      <c r="AH24" s="141">
        <f t="shared" si="16"/>
        <v>0</v>
      </c>
      <c r="AI24" s="108"/>
      <c r="AJ24" s="148">
        <v>17</v>
      </c>
      <c r="AK24" s="149" t="s">
        <v>20</v>
      </c>
      <c r="AL24" s="144">
        <f t="shared" si="8"/>
        <v>400.8</v>
      </c>
      <c r="AM24" s="145">
        <f t="shared" si="9"/>
        <v>0.97046004842615019</v>
      </c>
      <c r="AN24" s="144">
        <f t="shared" si="13"/>
        <v>12.2</v>
      </c>
      <c r="AO24" s="145">
        <f t="shared" si="10"/>
        <v>2.9539951573849876E-2</v>
      </c>
      <c r="AP24" s="144">
        <f t="shared" si="14"/>
        <v>0</v>
      </c>
      <c r="AQ24" s="145">
        <f t="shared" si="11"/>
        <v>0</v>
      </c>
    </row>
    <row r="25" spans="1:43" x14ac:dyDescent="0.25">
      <c r="A25" s="156">
        <v>18</v>
      </c>
      <c r="B25" s="157" t="s">
        <v>21</v>
      </c>
      <c r="C25" s="264">
        <f>[6]April!C25+[3]April!J23</f>
        <v>0</v>
      </c>
      <c r="D25" s="260"/>
      <c r="E25" s="260">
        <v>0</v>
      </c>
      <c r="F25" s="87">
        <f t="shared" si="0"/>
        <v>0</v>
      </c>
      <c r="G25" s="264">
        <f>[6]April!G25+[3]April!Q23</f>
        <v>0</v>
      </c>
      <c r="H25" s="260"/>
      <c r="I25" s="260">
        <v>0</v>
      </c>
      <c r="J25" s="87">
        <f t="shared" si="1"/>
        <v>0</v>
      </c>
      <c r="K25" s="264">
        <v>2.6</v>
      </c>
      <c r="L25" s="260">
        <v>2.6</v>
      </c>
      <c r="M25" s="260">
        <v>0</v>
      </c>
      <c r="N25" s="87">
        <f t="shared" si="2"/>
        <v>5.2</v>
      </c>
      <c r="O25" s="264">
        <f>[6]April!C25+[3]April!X23</f>
        <v>200</v>
      </c>
      <c r="P25" s="260">
        <v>1</v>
      </c>
      <c r="Q25" s="260">
        <v>0</v>
      </c>
      <c r="R25" s="87">
        <f t="shared" si="3"/>
        <v>201</v>
      </c>
      <c r="S25" s="264">
        <v>50</v>
      </c>
      <c r="T25" s="260">
        <v>1</v>
      </c>
      <c r="U25" s="260">
        <v>0</v>
      </c>
      <c r="V25" s="87">
        <f t="shared" si="4"/>
        <v>51</v>
      </c>
      <c r="W25" s="264">
        <f>[6]April!W25+[3]April!AS23</f>
        <v>10</v>
      </c>
      <c r="X25" s="260"/>
      <c r="Y25" s="260">
        <v>0</v>
      </c>
      <c r="Z25" s="87">
        <f t="shared" si="5"/>
        <v>10</v>
      </c>
      <c r="AA25" s="94">
        <f t="shared" si="12"/>
        <v>267.2</v>
      </c>
      <c r="AB25" s="96" t="s">
        <v>53</v>
      </c>
      <c r="AC25" s="138"/>
      <c r="AD25" s="146">
        <v>18</v>
      </c>
      <c r="AE25" s="147" t="s">
        <v>21</v>
      </c>
      <c r="AF25" s="141">
        <f t="shared" si="15"/>
        <v>262.60000000000002</v>
      </c>
      <c r="AG25" s="141">
        <f t="shared" si="15"/>
        <v>4.5999999999999996</v>
      </c>
      <c r="AH25" s="141">
        <f t="shared" si="16"/>
        <v>0</v>
      </c>
      <c r="AI25" s="108"/>
      <c r="AJ25" s="148">
        <v>18</v>
      </c>
      <c r="AK25" s="149" t="s">
        <v>21</v>
      </c>
      <c r="AL25" s="144">
        <f t="shared" si="8"/>
        <v>262.60000000000002</v>
      </c>
      <c r="AM25" s="145">
        <f t="shared" si="9"/>
        <v>0.98278443113772462</v>
      </c>
      <c r="AN25" s="144">
        <f t="shared" si="13"/>
        <v>4.5999999999999996</v>
      </c>
      <c r="AO25" s="145">
        <f t="shared" si="10"/>
        <v>1.7215568862275449E-2</v>
      </c>
      <c r="AP25" s="144">
        <f t="shared" si="14"/>
        <v>0</v>
      </c>
      <c r="AQ25" s="145">
        <f t="shared" si="11"/>
        <v>0</v>
      </c>
    </row>
    <row r="26" spans="1:43" x14ac:dyDescent="0.25">
      <c r="A26" s="156">
        <v>19</v>
      </c>
      <c r="B26" s="157" t="s">
        <v>22</v>
      </c>
      <c r="C26" s="264">
        <f>[6]April!C26+[3]April!J24</f>
        <v>110</v>
      </c>
      <c r="D26" s="260">
        <v>1</v>
      </c>
      <c r="E26" s="260">
        <v>0</v>
      </c>
      <c r="F26" s="87">
        <f t="shared" si="0"/>
        <v>111</v>
      </c>
      <c r="G26" s="264">
        <f>[6]April!G26+[3]April!Q24</f>
        <v>210</v>
      </c>
      <c r="H26" s="260">
        <v>1</v>
      </c>
      <c r="I26" s="260">
        <v>0</v>
      </c>
      <c r="J26" s="87">
        <f t="shared" si="1"/>
        <v>211</v>
      </c>
      <c r="K26" s="264">
        <v>3.3</v>
      </c>
      <c r="L26" s="260">
        <v>1.4</v>
      </c>
      <c r="M26" s="260">
        <v>0</v>
      </c>
      <c r="N26" s="87">
        <f t="shared" si="2"/>
        <v>4.6999999999999993</v>
      </c>
      <c r="O26" s="264">
        <v>25</v>
      </c>
      <c r="P26" s="260">
        <v>2.8</v>
      </c>
      <c r="Q26" s="260">
        <v>0</v>
      </c>
      <c r="R26" s="87">
        <f t="shared" si="3"/>
        <v>27.8</v>
      </c>
      <c r="S26" s="264">
        <f>30+100</f>
        <v>130</v>
      </c>
      <c r="T26" s="260"/>
      <c r="U26" s="260">
        <v>0</v>
      </c>
      <c r="V26" s="87">
        <f t="shared" si="4"/>
        <v>130</v>
      </c>
      <c r="W26" s="264">
        <f>[6]April!W26+[3]April!AS24</f>
        <v>30</v>
      </c>
      <c r="X26" s="260"/>
      <c r="Y26" s="260">
        <v>0</v>
      </c>
      <c r="Z26" s="87">
        <f t="shared" si="5"/>
        <v>30</v>
      </c>
      <c r="AA26" s="94">
        <f t="shared" si="12"/>
        <v>514.5</v>
      </c>
      <c r="AB26" s="96" t="s">
        <v>53</v>
      </c>
      <c r="AC26" s="138"/>
      <c r="AD26" s="146">
        <v>19</v>
      </c>
      <c r="AE26" s="147" t="s">
        <v>22</v>
      </c>
      <c r="AF26" s="141">
        <f t="shared" si="15"/>
        <v>508.3</v>
      </c>
      <c r="AG26" s="141">
        <f t="shared" si="15"/>
        <v>6.1999999999999993</v>
      </c>
      <c r="AH26" s="141">
        <f t="shared" si="16"/>
        <v>0</v>
      </c>
      <c r="AI26" s="108"/>
      <c r="AJ26" s="148">
        <v>19</v>
      </c>
      <c r="AK26" s="149" t="s">
        <v>22</v>
      </c>
      <c r="AL26" s="144">
        <f t="shared" si="8"/>
        <v>508.3</v>
      </c>
      <c r="AM26" s="145">
        <f t="shared" si="9"/>
        <v>0.9879494655004859</v>
      </c>
      <c r="AN26" s="144">
        <f t="shared" si="13"/>
        <v>6.1999999999999993</v>
      </c>
      <c r="AO26" s="145">
        <f t="shared" si="10"/>
        <v>1.205053449951409E-2</v>
      </c>
      <c r="AP26" s="144">
        <f t="shared" si="14"/>
        <v>0</v>
      </c>
      <c r="AQ26" s="145">
        <f t="shared" si="11"/>
        <v>0</v>
      </c>
    </row>
    <row r="27" spans="1:43" x14ac:dyDescent="0.25">
      <c r="A27" s="156">
        <v>20</v>
      </c>
      <c r="B27" s="157" t="s">
        <v>23</v>
      </c>
      <c r="C27" s="264">
        <f>[6]April!C27+[3]April!J25</f>
        <v>0</v>
      </c>
      <c r="D27" s="260" t="s">
        <v>146</v>
      </c>
      <c r="E27" s="260">
        <v>0</v>
      </c>
      <c r="F27" s="87">
        <f t="shared" si="0"/>
        <v>0</v>
      </c>
      <c r="G27" s="264">
        <f>[6]April!G27+[3]April!Q25</f>
        <v>200</v>
      </c>
      <c r="H27" s="260">
        <v>2</v>
      </c>
      <c r="I27" s="260">
        <v>0</v>
      </c>
      <c r="J27" s="87">
        <f t="shared" si="1"/>
        <v>202</v>
      </c>
      <c r="K27" s="264">
        <v>2.9</v>
      </c>
      <c r="L27" s="260"/>
      <c r="M27" s="260">
        <v>0</v>
      </c>
      <c r="N27" s="87">
        <f t="shared" si="2"/>
        <v>2.9</v>
      </c>
      <c r="O27" s="264">
        <f>[6]April!C27+[3]April!X25</f>
        <v>0</v>
      </c>
      <c r="P27" s="260"/>
      <c r="Q27" s="260">
        <v>0</v>
      </c>
      <c r="R27" s="87">
        <f t="shared" si="3"/>
        <v>0</v>
      </c>
      <c r="S27" s="264"/>
      <c r="T27" s="260"/>
      <c r="U27" s="260">
        <v>0</v>
      </c>
      <c r="V27" s="87">
        <f t="shared" si="4"/>
        <v>0</v>
      </c>
      <c r="W27" s="264">
        <f>[6]April!W27+[3]April!AS25</f>
        <v>0</v>
      </c>
      <c r="X27" s="260"/>
      <c r="Y27" s="260">
        <v>0</v>
      </c>
      <c r="Z27" s="87">
        <f t="shared" si="5"/>
        <v>0</v>
      </c>
      <c r="AA27" s="94">
        <f t="shared" si="12"/>
        <v>204.9</v>
      </c>
      <c r="AB27" s="96" t="s">
        <v>53</v>
      </c>
      <c r="AC27" s="138"/>
      <c r="AD27" s="146">
        <v>20</v>
      </c>
      <c r="AE27" s="147" t="s">
        <v>23</v>
      </c>
      <c r="AF27" s="141">
        <f t="shared" si="15"/>
        <v>202.9</v>
      </c>
      <c r="AG27" s="141" t="e">
        <f t="shared" si="15"/>
        <v>#VALUE!</v>
      </c>
      <c r="AH27" s="141">
        <f t="shared" si="16"/>
        <v>0</v>
      </c>
      <c r="AI27" s="108"/>
      <c r="AJ27" s="148">
        <v>20</v>
      </c>
      <c r="AK27" s="149" t="s">
        <v>23</v>
      </c>
      <c r="AL27" s="144">
        <f t="shared" si="8"/>
        <v>202.9</v>
      </c>
      <c r="AM27" s="145">
        <f t="shared" si="9"/>
        <v>0.99023914104441191</v>
      </c>
      <c r="AN27" s="144" t="e">
        <f t="shared" si="13"/>
        <v>#VALUE!</v>
      </c>
      <c r="AO27" s="145" t="e">
        <f t="shared" si="10"/>
        <v>#VALUE!</v>
      </c>
      <c r="AP27" s="144">
        <f t="shared" si="14"/>
        <v>0</v>
      </c>
      <c r="AQ27" s="145">
        <f t="shared" si="11"/>
        <v>0</v>
      </c>
    </row>
    <row r="28" spans="1:43" x14ac:dyDescent="0.25">
      <c r="A28" s="156">
        <v>21</v>
      </c>
      <c r="B28" s="157" t="s">
        <v>24</v>
      </c>
      <c r="C28" s="264">
        <v>100</v>
      </c>
      <c r="D28" s="260">
        <f>4.5+1</f>
        <v>5.5</v>
      </c>
      <c r="E28" s="260">
        <v>0</v>
      </c>
      <c r="F28" s="87">
        <f t="shared" si="0"/>
        <v>105.5</v>
      </c>
      <c r="G28" s="264">
        <f>[6]April!G28+[3]April!Q26</f>
        <v>13.3</v>
      </c>
      <c r="H28" s="260">
        <v>1.3</v>
      </c>
      <c r="I28" s="260">
        <v>0</v>
      </c>
      <c r="J28" s="87">
        <f t="shared" si="1"/>
        <v>14.600000000000001</v>
      </c>
      <c r="K28" s="264">
        <v>3.7</v>
      </c>
      <c r="L28" s="260">
        <v>1.3</v>
      </c>
      <c r="M28" s="260">
        <v>0</v>
      </c>
      <c r="N28" s="87">
        <f t="shared" si="2"/>
        <v>5</v>
      </c>
      <c r="O28" s="264">
        <f>[6]April!C28+[3]April!X26</f>
        <v>210</v>
      </c>
      <c r="P28" s="260">
        <f>4.2+1</f>
        <v>5.2</v>
      </c>
      <c r="Q28" s="260">
        <v>0</v>
      </c>
      <c r="R28" s="87">
        <f t="shared" si="3"/>
        <v>215.2</v>
      </c>
      <c r="S28" s="264">
        <f>30+150</f>
        <v>180</v>
      </c>
      <c r="T28" s="260">
        <v>2</v>
      </c>
      <c r="U28" s="260">
        <v>0</v>
      </c>
      <c r="V28" s="87">
        <f t="shared" si="4"/>
        <v>182</v>
      </c>
      <c r="W28" s="264">
        <f>[6]April!W28+[3]April!AS26</f>
        <v>40</v>
      </c>
      <c r="X28" s="260"/>
      <c r="Y28" s="260">
        <v>0</v>
      </c>
      <c r="Z28" s="87">
        <f t="shared" si="5"/>
        <v>40</v>
      </c>
      <c r="AA28" s="94">
        <f t="shared" si="12"/>
        <v>562.29999999999995</v>
      </c>
      <c r="AB28" s="96" t="s">
        <v>53</v>
      </c>
      <c r="AC28" s="138"/>
      <c r="AD28" s="146">
        <v>21</v>
      </c>
      <c r="AE28" s="147" t="s">
        <v>24</v>
      </c>
      <c r="AF28" s="141">
        <f t="shared" si="15"/>
        <v>547</v>
      </c>
      <c r="AG28" s="141">
        <f t="shared" si="15"/>
        <v>15.3</v>
      </c>
      <c r="AH28" s="141">
        <f t="shared" si="16"/>
        <v>0</v>
      </c>
      <c r="AI28" s="108"/>
      <c r="AJ28" s="148">
        <v>21</v>
      </c>
      <c r="AK28" s="149" t="s">
        <v>24</v>
      </c>
      <c r="AL28" s="144">
        <f t="shared" si="8"/>
        <v>547</v>
      </c>
      <c r="AM28" s="145">
        <f t="shared" si="9"/>
        <v>0.97279032544904864</v>
      </c>
      <c r="AN28" s="144">
        <f t="shared" si="13"/>
        <v>15.3</v>
      </c>
      <c r="AO28" s="145">
        <f t="shared" si="10"/>
        <v>2.7209674550951454E-2</v>
      </c>
      <c r="AP28" s="144">
        <f t="shared" si="14"/>
        <v>0</v>
      </c>
      <c r="AQ28" s="145">
        <f t="shared" si="11"/>
        <v>0</v>
      </c>
    </row>
    <row r="29" spans="1:43" x14ac:dyDescent="0.25">
      <c r="A29" s="156">
        <v>22</v>
      </c>
      <c r="B29" s="157" t="s">
        <v>25</v>
      </c>
      <c r="C29" s="264">
        <v>90</v>
      </c>
      <c r="D29" s="260">
        <f>4+1</f>
        <v>5</v>
      </c>
      <c r="E29" s="260">
        <v>0</v>
      </c>
      <c r="F29" s="87">
        <f t="shared" si="0"/>
        <v>95</v>
      </c>
      <c r="G29" s="264">
        <f>[6]April!G29+[3]April!Q27</f>
        <v>213.1</v>
      </c>
      <c r="H29" s="260">
        <f>1.6+2</f>
        <v>3.6</v>
      </c>
      <c r="I29" s="260">
        <v>0</v>
      </c>
      <c r="J29" s="87">
        <f t="shared" si="1"/>
        <v>216.7</v>
      </c>
      <c r="K29" s="264">
        <v>2.8</v>
      </c>
      <c r="L29" s="260">
        <v>2.1</v>
      </c>
      <c r="M29" s="260">
        <v>0</v>
      </c>
      <c r="N29" s="87">
        <f t="shared" si="2"/>
        <v>4.9000000000000004</v>
      </c>
      <c r="O29" s="264">
        <f>[6]April!C29+[3]April!X27</f>
        <v>10</v>
      </c>
      <c r="P29" s="260">
        <v>2</v>
      </c>
      <c r="Q29" s="260">
        <v>0</v>
      </c>
      <c r="R29" s="87">
        <f t="shared" si="3"/>
        <v>12</v>
      </c>
      <c r="S29" s="264">
        <v>125</v>
      </c>
      <c r="T29" s="260">
        <v>2</v>
      </c>
      <c r="U29" s="260">
        <v>0</v>
      </c>
      <c r="V29" s="87">
        <f t="shared" si="4"/>
        <v>127</v>
      </c>
      <c r="W29" s="264">
        <f>[6]April!W29+[3]April!AS27</f>
        <v>30</v>
      </c>
      <c r="X29" s="260"/>
      <c r="Y29" s="260">
        <v>0</v>
      </c>
      <c r="Z29" s="87">
        <f t="shared" si="5"/>
        <v>30</v>
      </c>
      <c r="AA29" s="94">
        <f t="shared" si="12"/>
        <v>485.59999999999997</v>
      </c>
      <c r="AB29" s="96" t="s">
        <v>53</v>
      </c>
      <c r="AC29" s="138"/>
      <c r="AD29" s="146">
        <v>22</v>
      </c>
      <c r="AE29" s="147" t="s">
        <v>25</v>
      </c>
      <c r="AF29" s="141">
        <f t="shared" si="15"/>
        <v>470.90000000000003</v>
      </c>
      <c r="AG29" s="141">
        <f t="shared" si="15"/>
        <v>14.7</v>
      </c>
      <c r="AH29" s="141">
        <f t="shared" si="16"/>
        <v>0</v>
      </c>
      <c r="AI29" s="108"/>
      <c r="AJ29" s="148">
        <v>22</v>
      </c>
      <c r="AK29" s="149" t="s">
        <v>25</v>
      </c>
      <c r="AL29" s="144">
        <f t="shared" si="8"/>
        <v>470.90000000000003</v>
      </c>
      <c r="AM29" s="145">
        <f t="shared" si="9"/>
        <v>0.96972817133443179</v>
      </c>
      <c r="AN29" s="144">
        <f t="shared" si="13"/>
        <v>14.7</v>
      </c>
      <c r="AO29" s="145">
        <f t="shared" si="10"/>
        <v>3.0271828665568368E-2</v>
      </c>
      <c r="AP29" s="144">
        <f t="shared" si="14"/>
        <v>0</v>
      </c>
      <c r="AQ29" s="145">
        <f t="shared" si="11"/>
        <v>0</v>
      </c>
    </row>
    <row r="30" spans="1:43" x14ac:dyDescent="0.25">
      <c r="A30" s="156">
        <v>23</v>
      </c>
      <c r="B30" s="157" t="s">
        <v>26</v>
      </c>
      <c r="C30" s="264">
        <f>[6]April!C30+[3]April!J28</f>
        <v>10</v>
      </c>
      <c r="D30" s="260">
        <v>2.5</v>
      </c>
      <c r="E30" s="260">
        <v>0</v>
      </c>
      <c r="F30" s="87">
        <f t="shared" si="0"/>
        <v>12.5</v>
      </c>
      <c r="G30" s="264">
        <f>[6]April!G30+[3]April!Q28</f>
        <v>14.8</v>
      </c>
      <c r="H30" s="260">
        <v>1.8</v>
      </c>
      <c r="I30" s="260">
        <v>0</v>
      </c>
      <c r="J30" s="87">
        <f t="shared" si="1"/>
        <v>16.600000000000001</v>
      </c>
      <c r="K30" s="264">
        <v>2.6</v>
      </c>
      <c r="L30" s="260">
        <v>1.3</v>
      </c>
      <c r="M30" s="260">
        <v>0</v>
      </c>
      <c r="N30" s="87">
        <f t="shared" si="2"/>
        <v>3.9000000000000004</v>
      </c>
      <c r="O30" s="264">
        <v>235</v>
      </c>
      <c r="P30" s="260">
        <v>1</v>
      </c>
      <c r="Q30" s="260">
        <v>0</v>
      </c>
      <c r="R30" s="87">
        <f t="shared" si="3"/>
        <v>236</v>
      </c>
      <c r="S30" s="264">
        <f>30+50</f>
        <v>80</v>
      </c>
      <c r="T30" s="260">
        <v>1</v>
      </c>
      <c r="U30" s="260">
        <v>0</v>
      </c>
      <c r="V30" s="87">
        <f t="shared" si="4"/>
        <v>81</v>
      </c>
      <c r="W30" s="264">
        <v>35</v>
      </c>
      <c r="X30" s="260"/>
      <c r="Y30" s="260">
        <v>0</v>
      </c>
      <c r="Z30" s="87">
        <f t="shared" si="5"/>
        <v>35</v>
      </c>
      <c r="AA30" s="94">
        <f t="shared" si="12"/>
        <v>385</v>
      </c>
      <c r="AB30" s="96" t="s">
        <v>53</v>
      </c>
      <c r="AC30" s="138"/>
      <c r="AD30" s="146">
        <v>23</v>
      </c>
      <c r="AE30" s="147" t="s">
        <v>26</v>
      </c>
      <c r="AF30" s="141">
        <f t="shared" si="15"/>
        <v>377.4</v>
      </c>
      <c r="AG30" s="141">
        <f t="shared" si="15"/>
        <v>7.6</v>
      </c>
      <c r="AH30" s="141">
        <f t="shared" si="16"/>
        <v>0</v>
      </c>
      <c r="AI30" s="108"/>
      <c r="AJ30" s="148">
        <v>23</v>
      </c>
      <c r="AK30" s="149" t="s">
        <v>26</v>
      </c>
      <c r="AL30" s="144">
        <f t="shared" si="8"/>
        <v>377.4</v>
      </c>
      <c r="AM30" s="145">
        <f t="shared" si="9"/>
        <v>0.98025974025974016</v>
      </c>
      <c r="AN30" s="144">
        <f t="shared" si="13"/>
        <v>7.6</v>
      </c>
      <c r="AO30" s="145">
        <f t="shared" si="10"/>
        <v>1.9740259740259739E-2</v>
      </c>
      <c r="AP30" s="144">
        <f t="shared" si="14"/>
        <v>0</v>
      </c>
      <c r="AQ30" s="145">
        <f t="shared" si="11"/>
        <v>0</v>
      </c>
    </row>
    <row r="31" spans="1:43" x14ac:dyDescent="0.25">
      <c r="A31" s="156">
        <v>24</v>
      </c>
      <c r="B31" s="157" t="s">
        <v>27</v>
      </c>
      <c r="C31" s="264">
        <v>80</v>
      </c>
      <c r="D31" s="260">
        <f>2.6+1</f>
        <v>3.6</v>
      </c>
      <c r="E31" s="260">
        <v>0</v>
      </c>
      <c r="F31" s="87">
        <f t="shared" si="0"/>
        <v>83.6</v>
      </c>
      <c r="G31" s="264">
        <f>[6]April!G31+[3]April!Q29</f>
        <v>15.1</v>
      </c>
      <c r="H31" s="260">
        <f>2.7+1</f>
        <v>3.7</v>
      </c>
      <c r="I31" s="260">
        <v>0</v>
      </c>
      <c r="J31" s="87">
        <f t="shared" si="1"/>
        <v>18.8</v>
      </c>
      <c r="K31" s="264">
        <v>3.7</v>
      </c>
      <c r="L31" s="260"/>
      <c r="M31" s="260">
        <v>0</v>
      </c>
      <c r="N31" s="87">
        <f t="shared" si="2"/>
        <v>3.7</v>
      </c>
      <c r="O31" s="264">
        <f>[6]April!C31+[3]April!X29</f>
        <v>10</v>
      </c>
      <c r="P31" s="260">
        <v>3.8</v>
      </c>
      <c r="Q31" s="260">
        <v>0</v>
      </c>
      <c r="R31" s="87">
        <f t="shared" si="3"/>
        <v>13.8</v>
      </c>
      <c r="S31" s="264">
        <v>30</v>
      </c>
      <c r="T31" s="260"/>
      <c r="U31" s="260">
        <v>0</v>
      </c>
      <c r="V31" s="87">
        <f t="shared" si="4"/>
        <v>30</v>
      </c>
      <c r="W31" s="264">
        <v>55</v>
      </c>
      <c r="X31" s="260"/>
      <c r="Y31" s="260">
        <v>0</v>
      </c>
      <c r="Z31" s="87">
        <f t="shared" si="5"/>
        <v>55</v>
      </c>
      <c r="AA31" s="94">
        <f t="shared" si="12"/>
        <v>204.89999999999998</v>
      </c>
      <c r="AB31" s="96" t="s">
        <v>53</v>
      </c>
      <c r="AC31" s="138"/>
      <c r="AD31" s="146">
        <v>24</v>
      </c>
      <c r="AE31" s="147" t="s">
        <v>27</v>
      </c>
      <c r="AF31" s="141">
        <f t="shared" si="15"/>
        <v>193.8</v>
      </c>
      <c r="AG31" s="141">
        <f t="shared" si="15"/>
        <v>11.100000000000001</v>
      </c>
      <c r="AH31" s="141">
        <f t="shared" si="16"/>
        <v>0</v>
      </c>
      <c r="AI31" s="108"/>
      <c r="AJ31" s="148">
        <v>24</v>
      </c>
      <c r="AK31" s="149" t="s">
        <v>27</v>
      </c>
      <c r="AL31" s="144">
        <f t="shared" si="8"/>
        <v>193.8</v>
      </c>
      <c r="AM31" s="145">
        <f t="shared" si="9"/>
        <v>0.94582723279648628</v>
      </c>
      <c r="AN31" s="144">
        <f t="shared" si="13"/>
        <v>11.100000000000001</v>
      </c>
      <c r="AO31" s="145">
        <f t="shared" si="10"/>
        <v>5.4172767203513925E-2</v>
      </c>
      <c r="AP31" s="144">
        <f t="shared" si="14"/>
        <v>0</v>
      </c>
      <c r="AQ31" s="145">
        <f t="shared" si="11"/>
        <v>0</v>
      </c>
    </row>
    <row r="32" spans="1:43" x14ac:dyDescent="0.25">
      <c r="A32" s="156">
        <v>25</v>
      </c>
      <c r="B32" s="157" t="s">
        <v>28</v>
      </c>
      <c r="C32" s="264">
        <v>40</v>
      </c>
      <c r="D32" s="260">
        <v>3.3</v>
      </c>
      <c r="E32" s="260">
        <v>0</v>
      </c>
      <c r="F32" s="87">
        <f t="shared" si="0"/>
        <v>43.3</v>
      </c>
      <c r="G32" s="264">
        <f>[6]April!G32+[3]April!Q30</f>
        <v>16.5</v>
      </c>
      <c r="H32" s="260">
        <v>2.4</v>
      </c>
      <c r="I32" s="260">
        <v>0</v>
      </c>
      <c r="J32" s="87">
        <f t="shared" si="1"/>
        <v>18.899999999999999</v>
      </c>
      <c r="K32" s="264">
        <v>2.9</v>
      </c>
      <c r="L32" s="260">
        <v>3.2</v>
      </c>
      <c r="M32" s="260">
        <v>0</v>
      </c>
      <c r="N32" s="87">
        <f t="shared" si="2"/>
        <v>6.1</v>
      </c>
      <c r="O32" s="264">
        <f>[6]April!C32+[3]April!X30</f>
        <v>210</v>
      </c>
      <c r="P32" s="260">
        <f>1.8+1</f>
        <v>2.8</v>
      </c>
      <c r="Q32" s="260">
        <v>0</v>
      </c>
      <c r="R32" s="87">
        <f t="shared" si="3"/>
        <v>212.8</v>
      </c>
      <c r="S32" s="264">
        <f>30+150</f>
        <v>180</v>
      </c>
      <c r="T32" s="260">
        <v>2</v>
      </c>
      <c r="U32" s="260">
        <v>0</v>
      </c>
      <c r="V32" s="87">
        <f t="shared" si="4"/>
        <v>182</v>
      </c>
      <c r="W32" s="264">
        <f>[6]April!W32+[3]April!AS30</f>
        <v>30</v>
      </c>
      <c r="X32" s="260"/>
      <c r="Y32" s="260">
        <v>0</v>
      </c>
      <c r="Z32" s="87">
        <f t="shared" si="5"/>
        <v>30</v>
      </c>
      <c r="AA32" s="94">
        <f t="shared" si="12"/>
        <v>493.1</v>
      </c>
      <c r="AB32" s="96" t="s">
        <v>53</v>
      </c>
      <c r="AC32" s="138"/>
      <c r="AD32" s="146">
        <v>25</v>
      </c>
      <c r="AE32" s="147" t="s">
        <v>28</v>
      </c>
      <c r="AF32" s="141">
        <f t="shared" si="15"/>
        <v>479.4</v>
      </c>
      <c r="AG32" s="141">
        <f t="shared" si="15"/>
        <v>13.7</v>
      </c>
      <c r="AH32" s="141">
        <f t="shared" si="16"/>
        <v>0</v>
      </c>
      <c r="AI32" s="108"/>
      <c r="AJ32" s="148">
        <v>25</v>
      </c>
      <c r="AK32" s="149" t="s">
        <v>28</v>
      </c>
      <c r="AL32" s="144">
        <f t="shared" si="8"/>
        <v>479.4</v>
      </c>
      <c r="AM32" s="145">
        <f t="shared" si="9"/>
        <v>0.9722165889271952</v>
      </c>
      <c r="AN32" s="144">
        <f t="shared" si="13"/>
        <v>13.7</v>
      </c>
      <c r="AO32" s="145">
        <f t="shared" si="10"/>
        <v>2.7783411072804701E-2</v>
      </c>
      <c r="AP32" s="144">
        <f t="shared" si="14"/>
        <v>0</v>
      </c>
      <c r="AQ32" s="145">
        <f t="shared" si="11"/>
        <v>0</v>
      </c>
    </row>
    <row r="33" spans="1:43" x14ac:dyDescent="0.25">
      <c r="A33" s="156">
        <v>26</v>
      </c>
      <c r="B33" s="157" t="s">
        <v>29</v>
      </c>
      <c r="C33" s="264">
        <v>120</v>
      </c>
      <c r="D33" s="260">
        <v>1</v>
      </c>
      <c r="E33" s="260">
        <v>0</v>
      </c>
      <c r="F33" s="87">
        <f t="shared" si="0"/>
        <v>121</v>
      </c>
      <c r="G33" s="264">
        <f>[6]April!G33+[3]April!Q31</f>
        <v>10</v>
      </c>
      <c r="H33" s="260">
        <v>1</v>
      </c>
      <c r="I33" s="260">
        <v>0</v>
      </c>
      <c r="J33" s="87">
        <f t="shared" si="1"/>
        <v>11</v>
      </c>
      <c r="K33" s="264">
        <v>2.8</v>
      </c>
      <c r="L33" s="260"/>
      <c r="M33" s="260">
        <v>0</v>
      </c>
      <c r="N33" s="87">
        <f t="shared" si="2"/>
        <v>2.8</v>
      </c>
      <c r="O33" s="264">
        <v>15</v>
      </c>
      <c r="P33" s="260">
        <v>3.5</v>
      </c>
      <c r="Q33" s="260">
        <v>0</v>
      </c>
      <c r="R33" s="87">
        <f t="shared" si="3"/>
        <v>18.5</v>
      </c>
      <c r="S33" s="264">
        <v>30</v>
      </c>
      <c r="T33" s="260"/>
      <c r="U33" s="260">
        <v>0</v>
      </c>
      <c r="V33" s="87">
        <f t="shared" si="4"/>
        <v>30</v>
      </c>
      <c r="W33" s="264">
        <f>[6]April!W33+[3]April!AS31</f>
        <v>40</v>
      </c>
      <c r="X33" s="260"/>
      <c r="Y33" s="260">
        <v>0</v>
      </c>
      <c r="Z33" s="87">
        <f t="shared" si="5"/>
        <v>40</v>
      </c>
      <c r="AA33" s="94">
        <f t="shared" si="12"/>
        <v>223.3</v>
      </c>
      <c r="AB33" s="96" t="s">
        <v>53</v>
      </c>
      <c r="AC33" s="138"/>
      <c r="AD33" s="146">
        <v>26</v>
      </c>
      <c r="AE33" s="147" t="s">
        <v>29</v>
      </c>
      <c r="AF33" s="141">
        <f t="shared" si="15"/>
        <v>217.8</v>
      </c>
      <c r="AG33" s="141">
        <f t="shared" si="15"/>
        <v>5.5</v>
      </c>
      <c r="AH33" s="141">
        <f t="shared" si="16"/>
        <v>0</v>
      </c>
      <c r="AI33" s="108"/>
      <c r="AJ33" s="148">
        <v>26</v>
      </c>
      <c r="AK33" s="149" t="s">
        <v>29</v>
      </c>
      <c r="AL33" s="144">
        <f t="shared" si="8"/>
        <v>217.8</v>
      </c>
      <c r="AM33" s="145">
        <f t="shared" si="9"/>
        <v>0.97536945812807885</v>
      </c>
      <c r="AN33" s="144">
        <f t="shared" si="13"/>
        <v>5.5</v>
      </c>
      <c r="AO33" s="145">
        <f t="shared" si="10"/>
        <v>2.463054187192118E-2</v>
      </c>
      <c r="AP33" s="144">
        <f t="shared" si="14"/>
        <v>0</v>
      </c>
      <c r="AQ33" s="145">
        <f t="shared" si="11"/>
        <v>0</v>
      </c>
    </row>
    <row r="34" spans="1:43" x14ac:dyDescent="0.25">
      <c r="A34" s="156">
        <v>27</v>
      </c>
      <c r="B34" s="157" t="s">
        <v>30</v>
      </c>
      <c r="C34" s="264">
        <f>[6]April!C34+[3]April!J32</f>
        <v>0</v>
      </c>
      <c r="D34" s="260"/>
      <c r="E34" s="260">
        <v>0</v>
      </c>
      <c r="F34" s="87">
        <f t="shared" si="0"/>
        <v>0</v>
      </c>
      <c r="G34" s="264">
        <f>[6]April!G34+[3]April!Q32</f>
        <v>0</v>
      </c>
      <c r="H34" s="260"/>
      <c r="I34" s="260">
        <v>0</v>
      </c>
      <c r="J34" s="87">
        <f t="shared" si="1"/>
        <v>0</v>
      </c>
      <c r="K34" s="264">
        <v>2.7</v>
      </c>
      <c r="L34" s="260">
        <v>1.7</v>
      </c>
      <c r="M34" s="260">
        <v>0</v>
      </c>
      <c r="N34" s="87">
        <f t="shared" si="2"/>
        <v>4.4000000000000004</v>
      </c>
      <c r="O34" s="264">
        <f>[6]April!C34+[3]April!X32</f>
        <v>0</v>
      </c>
      <c r="P34" s="260"/>
      <c r="Q34" s="260">
        <v>0</v>
      </c>
      <c r="R34" s="87">
        <f t="shared" si="3"/>
        <v>0</v>
      </c>
      <c r="S34" s="264">
        <v>50</v>
      </c>
      <c r="T34" s="260">
        <v>1</v>
      </c>
      <c r="U34" s="260">
        <v>0</v>
      </c>
      <c r="V34" s="87">
        <f t="shared" si="4"/>
        <v>51</v>
      </c>
      <c r="W34" s="264">
        <f>[6]April!W34+[3]April!AS32</f>
        <v>0</v>
      </c>
      <c r="X34" s="260"/>
      <c r="Y34" s="260">
        <v>0</v>
      </c>
      <c r="Z34" s="87">
        <f t="shared" si="5"/>
        <v>0</v>
      </c>
      <c r="AA34" s="94">
        <f t="shared" si="12"/>
        <v>55.4</v>
      </c>
      <c r="AB34" s="96" t="s">
        <v>53</v>
      </c>
      <c r="AC34" s="138"/>
      <c r="AD34" s="146">
        <v>27</v>
      </c>
      <c r="AE34" s="147" t="s">
        <v>30</v>
      </c>
      <c r="AF34" s="141">
        <f t="shared" si="15"/>
        <v>52.7</v>
      </c>
      <c r="AG34" s="141">
        <f t="shared" si="15"/>
        <v>2.7</v>
      </c>
      <c r="AH34" s="141">
        <f t="shared" si="16"/>
        <v>0</v>
      </c>
      <c r="AI34" s="108"/>
      <c r="AJ34" s="148">
        <v>27</v>
      </c>
      <c r="AK34" s="149" t="s">
        <v>30</v>
      </c>
      <c r="AL34" s="144">
        <f t="shared" si="8"/>
        <v>52.7</v>
      </c>
      <c r="AM34" s="145">
        <f t="shared" si="9"/>
        <v>0.95126353790613727</v>
      </c>
      <c r="AN34" s="144">
        <f t="shared" si="13"/>
        <v>2.7</v>
      </c>
      <c r="AO34" s="145">
        <f t="shared" si="10"/>
        <v>4.8736462093862822E-2</v>
      </c>
      <c r="AP34" s="144">
        <f t="shared" si="14"/>
        <v>0</v>
      </c>
      <c r="AQ34" s="145">
        <f t="shared" si="11"/>
        <v>0</v>
      </c>
    </row>
    <row r="35" spans="1:43" x14ac:dyDescent="0.25">
      <c r="A35" s="156">
        <v>28</v>
      </c>
      <c r="B35" s="157" t="s">
        <v>31</v>
      </c>
      <c r="C35" s="264">
        <v>100</v>
      </c>
      <c r="D35" s="260">
        <f>1.7+1</f>
        <v>2.7</v>
      </c>
      <c r="E35" s="260">
        <v>0</v>
      </c>
      <c r="F35" s="87">
        <f t="shared" si="0"/>
        <v>102.7</v>
      </c>
      <c r="G35" s="264">
        <f>[6]April!G35+[3]April!Q33</f>
        <v>15.6</v>
      </c>
      <c r="H35" s="260">
        <f>2.8+2</f>
        <v>4.8</v>
      </c>
      <c r="I35" s="260">
        <v>0</v>
      </c>
      <c r="J35" s="87">
        <f t="shared" si="1"/>
        <v>20.399999999999999</v>
      </c>
      <c r="K35" s="264">
        <v>3</v>
      </c>
      <c r="L35" s="260">
        <v>2.5</v>
      </c>
      <c r="M35" s="260">
        <v>0</v>
      </c>
      <c r="N35" s="87">
        <f t="shared" si="2"/>
        <v>5.5</v>
      </c>
      <c r="O35" s="264">
        <f>[6]April!C35+[3]April!X33</f>
        <v>10</v>
      </c>
      <c r="P35" s="260">
        <v>4.5</v>
      </c>
      <c r="Q35" s="260">
        <v>0</v>
      </c>
      <c r="R35" s="87">
        <f t="shared" si="3"/>
        <v>14.5</v>
      </c>
      <c r="S35" s="264">
        <f>30+100</f>
        <v>130</v>
      </c>
      <c r="T35" s="260">
        <v>1</v>
      </c>
      <c r="U35" s="260">
        <v>0</v>
      </c>
      <c r="V35" s="87">
        <f t="shared" si="4"/>
        <v>131</v>
      </c>
      <c r="W35" s="264">
        <f>[6]April!W35+[3]April!AS33</f>
        <v>40</v>
      </c>
      <c r="X35" s="260"/>
      <c r="Y35" s="260">
        <v>0</v>
      </c>
      <c r="Z35" s="87">
        <f t="shared" si="5"/>
        <v>40</v>
      </c>
      <c r="AA35" s="94">
        <f t="shared" si="12"/>
        <v>314.10000000000002</v>
      </c>
      <c r="AB35" s="96" t="s">
        <v>53</v>
      </c>
      <c r="AC35" s="138"/>
      <c r="AD35" s="146">
        <v>28</v>
      </c>
      <c r="AE35" s="147" t="s">
        <v>31</v>
      </c>
      <c r="AF35" s="141">
        <f t="shared" si="15"/>
        <v>298.60000000000002</v>
      </c>
      <c r="AG35" s="141">
        <f t="shared" si="15"/>
        <v>15.5</v>
      </c>
      <c r="AH35" s="141">
        <f t="shared" si="16"/>
        <v>0</v>
      </c>
      <c r="AI35" s="108"/>
      <c r="AJ35" s="148">
        <v>28</v>
      </c>
      <c r="AK35" s="149" t="s">
        <v>31</v>
      </c>
      <c r="AL35" s="144">
        <f t="shared" si="8"/>
        <v>298.60000000000002</v>
      </c>
      <c r="AM35" s="145">
        <f t="shared" si="9"/>
        <v>0.95065265838904811</v>
      </c>
      <c r="AN35" s="144">
        <f t="shared" si="13"/>
        <v>15.5</v>
      </c>
      <c r="AO35" s="145">
        <f t="shared" si="10"/>
        <v>4.9347341610951924E-2</v>
      </c>
      <c r="AP35" s="144">
        <f t="shared" si="14"/>
        <v>0</v>
      </c>
      <c r="AQ35" s="145">
        <f t="shared" si="11"/>
        <v>0</v>
      </c>
    </row>
    <row r="36" spans="1:43" x14ac:dyDescent="0.25">
      <c r="A36" s="156">
        <v>29</v>
      </c>
      <c r="B36" s="157" t="s">
        <v>32</v>
      </c>
      <c r="C36" s="264">
        <f>[6]April!C36+[3]April!J34</f>
        <v>10</v>
      </c>
      <c r="D36" s="260">
        <v>0.8</v>
      </c>
      <c r="E36" s="260">
        <v>0</v>
      </c>
      <c r="F36" s="87">
        <f t="shared" si="0"/>
        <v>10.8</v>
      </c>
      <c r="G36" s="264">
        <f>[6]April!G36+[3]April!Q34</f>
        <v>14.8</v>
      </c>
      <c r="H36" s="260">
        <v>1.5</v>
      </c>
      <c r="I36" s="260">
        <v>0</v>
      </c>
      <c r="J36" s="87">
        <f t="shared" si="1"/>
        <v>16.3</v>
      </c>
      <c r="K36" s="264">
        <v>2.7</v>
      </c>
      <c r="L36" s="260">
        <v>2</v>
      </c>
      <c r="M36" s="260">
        <v>0</v>
      </c>
      <c r="N36" s="87">
        <f t="shared" si="2"/>
        <v>4.7</v>
      </c>
      <c r="O36" s="264">
        <f>[6]April!C36+[3]April!X34</f>
        <v>210</v>
      </c>
      <c r="P36" s="260">
        <f>2.7+1</f>
        <v>3.7</v>
      </c>
      <c r="Q36" s="260">
        <v>0</v>
      </c>
      <c r="R36" s="87">
        <f t="shared" si="3"/>
        <v>213.7</v>
      </c>
      <c r="S36" s="264">
        <v>30</v>
      </c>
      <c r="T36" s="260"/>
      <c r="U36" s="260">
        <v>0</v>
      </c>
      <c r="V36" s="87">
        <f t="shared" si="4"/>
        <v>30</v>
      </c>
      <c r="W36" s="264">
        <f>[6]April!W36+[3]April!AS34</f>
        <v>30</v>
      </c>
      <c r="X36" s="260"/>
      <c r="Y36" s="260">
        <v>0</v>
      </c>
      <c r="Z36" s="87">
        <f t="shared" si="5"/>
        <v>30</v>
      </c>
      <c r="AA36" s="94">
        <f t="shared" si="12"/>
        <v>305.5</v>
      </c>
      <c r="AB36" s="96" t="s">
        <v>53</v>
      </c>
      <c r="AC36" s="138"/>
      <c r="AD36" s="146">
        <v>29</v>
      </c>
      <c r="AE36" s="147" t="s">
        <v>32</v>
      </c>
      <c r="AF36" s="141">
        <f t="shared" si="15"/>
        <v>297.5</v>
      </c>
      <c r="AG36" s="141">
        <f t="shared" si="15"/>
        <v>8</v>
      </c>
      <c r="AH36" s="141">
        <f t="shared" si="16"/>
        <v>0</v>
      </c>
      <c r="AI36" s="108"/>
      <c r="AJ36" s="148">
        <v>29</v>
      </c>
      <c r="AK36" s="149" t="s">
        <v>32</v>
      </c>
      <c r="AL36" s="144">
        <f t="shared" si="8"/>
        <v>297.5</v>
      </c>
      <c r="AM36" s="145">
        <f t="shared" si="9"/>
        <v>0.97381342062193121</v>
      </c>
      <c r="AN36" s="144">
        <f t="shared" si="13"/>
        <v>8</v>
      </c>
      <c r="AO36" s="145">
        <f t="shared" si="10"/>
        <v>2.6186579378068741E-2</v>
      </c>
      <c r="AP36" s="144">
        <f t="shared" si="14"/>
        <v>0</v>
      </c>
      <c r="AQ36" s="145">
        <f t="shared" si="11"/>
        <v>0</v>
      </c>
    </row>
    <row r="37" spans="1:43" x14ac:dyDescent="0.25">
      <c r="A37" s="156">
        <v>30</v>
      </c>
      <c r="B37" s="157" t="s">
        <v>33</v>
      </c>
      <c r="C37" s="264">
        <f>[6]April!C37+[3]April!J35</f>
        <v>110</v>
      </c>
      <c r="D37" s="260">
        <f>3.5+1</f>
        <v>4.5</v>
      </c>
      <c r="E37" s="260">
        <v>0</v>
      </c>
      <c r="F37" s="87">
        <f t="shared" si="0"/>
        <v>114.5</v>
      </c>
      <c r="G37" s="264">
        <f>[6]April!G37+[3]April!Q35</f>
        <v>14.3</v>
      </c>
      <c r="H37" s="260">
        <v>0.8</v>
      </c>
      <c r="I37" s="260">
        <v>0</v>
      </c>
      <c r="J37" s="87">
        <f t="shared" si="1"/>
        <v>15.100000000000001</v>
      </c>
      <c r="K37" s="264">
        <v>4.2</v>
      </c>
      <c r="L37" s="260">
        <v>2</v>
      </c>
      <c r="M37" s="260">
        <v>0</v>
      </c>
      <c r="N37" s="87">
        <f t="shared" si="2"/>
        <v>6.2</v>
      </c>
      <c r="O37" s="264">
        <v>15</v>
      </c>
      <c r="P37" s="260">
        <v>2.7</v>
      </c>
      <c r="Q37" s="260">
        <v>0</v>
      </c>
      <c r="R37" s="87">
        <f t="shared" si="3"/>
        <v>17.7</v>
      </c>
      <c r="S37" s="264">
        <f>30+150</f>
        <v>180</v>
      </c>
      <c r="T37" s="260">
        <v>2</v>
      </c>
      <c r="U37" s="260">
        <v>0</v>
      </c>
      <c r="V37" s="87">
        <f t="shared" si="4"/>
        <v>182</v>
      </c>
      <c r="W37" s="264">
        <v>45</v>
      </c>
      <c r="X37" s="260"/>
      <c r="Y37" s="260">
        <v>0</v>
      </c>
      <c r="Z37" s="87">
        <f t="shared" si="5"/>
        <v>45</v>
      </c>
      <c r="AA37" s="94">
        <f t="shared" si="12"/>
        <v>380.5</v>
      </c>
      <c r="AB37" s="96" t="s">
        <v>53</v>
      </c>
      <c r="AC37" s="138"/>
      <c r="AD37" s="146">
        <v>30</v>
      </c>
      <c r="AE37" s="147" t="s">
        <v>33</v>
      </c>
      <c r="AF37" s="141">
        <f t="shared" si="15"/>
        <v>368.5</v>
      </c>
      <c r="AG37" s="141">
        <f t="shared" si="15"/>
        <v>12</v>
      </c>
      <c r="AH37" s="141">
        <f t="shared" si="16"/>
        <v>0</v>
      </c>
      <c r="AI37" s="108"/>
      <c r="AJ37" s="148">
        <v>30</v>
      </c>
      <c r="AK37" s="149" t="s">
        <v>33</v>
      </c>
      <c r="AL37" s="144">
        <f t="shared" si="8"/>
        <v>368.5</v>
      </c>
      <c r="AM37" s="145">
        <f t="shared" si="9"/>
        <v>0.96846254927726672</v>
      </c>
      <c r="AN37" s="144">
        <f t="shared" si="13"/>
        <v>12</v>
      </c>
      <c r="AO37" s="145">
        <f t="shared" si="10"/>
        <v>3.1537450722733243E-2</v>
      </c>
      <c r="AP37" s="144">
        <f t="shared" si="14"/>
        <v>0</v>
      </c>
      <c r="AQ37" s="145">
        <f t="shared" si="11"/>
        <v>0</v>
      </c>
    </row>
    <row r="38" spans="1:43" ht="15.75" thickBot="1" x14ac:dyDescent="0.3">
      <c r="A38" s="158">
        <v>31</v>
      </c>
      <c r="B38" s="159" t="s">
        <v>34</v>
      </c>
      <c r="C38" s="265"/>
      <c r="D38" s="262"/>
      <c r="E38" s="262">
        <v>0</v>
      </c>
      <c r="F38" s="88">
        <f t="shared" si="0"/>
        <v>0</v>
      </c>
      <c r="G38" s="265"/>
      <c r="H38" s="262"/>
      <c r="I38" s="262">
        <v>0</v>
      </c>
      <c r="J38" s="88">
        <f t="shared" si="1"/>
        <v>0</v>
      </c>
      <c r="K38" s="265"/>
      <c r="L38" s="262"/>
      <c r="M38" s="262">
        <v>0</v>
      </c>
      <c r="N38" s="88">
        <f t="shared" si="2"/>
        <v>0</v>
      </c>
      <c r="O38" s="265"/>
      <c r="P38" s="262"/>
      <c r="Q38" s="262">
        <v>0</v>
      </c>
      <c r="R38" s="88">
        <f t="shared" si="3"/>
        <v>0</v>
      </c>
      <c r="S38" s="265"/>
      <c r="T38" s="262"/>
      <c r="U38" s="262">
        <v>0</v>
      </c>
      <c r="V38" s="88">
        <f t="shared" si="4"/>
        <v>0</v>
      </c>
      <c r="W38" s="265"/>
      <c r="X38" s="262"/>
      <c r="Y38" s="262">
        <v>0</v>
      </c>
      <c r="Z38" s="88">
        <f t="shared" si="5"/>
        <v>0</v>
      </c>
      <c r="AA38" s="94">
        <f t="shared" si="12"/>
        <v>0</v>
      </c>
      <c r="AB38" s="97" t="s">
        <v>53</v>
      </c>
      <c r="AC38" s="138"/>
      <c r="AD38" s="150">
        <v>31</v>
      </c>
      <c r="AE38" s="151" t="s">
        <v>34</v>
      </c>
      <c r="AF38" s="141">
        <f t="shared" si="15"/>
        <v>0</v>
      </c>
      <c r="AG38" s="141">
        <f t="shared" si="15"/>
        <v>0</v>
      </c>
      <c r="AH38" s="141">
        <f t="shared" si="16"/>
        <v>0</v>
      </c>
      <c r="AI38" s="108"/>
      <c r="AJ38" s="148">
        <v>31</v>
      </c>
      <c r="AK38" s="149" t="s">
        <v>34</v>
      </c>
      <c r="AL38" s="152">
        <f t="shared" si="8"/>
        <v>0</v>
      </c>
      <c r="AM38" s="153" t="e">
        <f t="shared" si="9"/>
        <v>#DIV/0!</v>
      </c>
      <c r="AN38" s="144">
        <f t="shared" si="13"/>
        <v>0</v>
      </c>
      <c r="AO38" s="145" t="e">
        <f t="shared" si="10"/>
        <v>#DIV/0!</v>
      </c>
      <c r="AP38" s="144">
        <f t="shared" si="14"/>
        <v>0</v>
      </c>
      <c r="AQ38" s="145" t="e">
        <f t="shared" si="11"/>
        <v>#DIV/0!</v>
      </c>
    </row>
    <row r="39" spans="1:43" ht="33.75" customHeight="1" thickBot="1" x14ac:dyDescent="0.3">
      <c r="A39" s="308" t="s">
        <v>58</v>
      </c>
      <c r="B39" s="309"/>
      <c r="C39" s="99">
        <f t="shared" ref="C39:I39" si="17">SUM(C8:C38)</f>
        <v>1399</v>
      </c>
      <c r="D39" s="100">
        <f t="shared" si="17"/>
        <v>93.999999999999986</v>
      </c>
      <c r="E39" s="100">
        <f t="shared" si="17"/>
        <v>0</v>
      </c>
      <c r="F39" s="219">
        <f t="shared" si="17"/>
        <v>1493</v>
      </c>
      <c r="G39" s="101">
        <f t="shared" si="17"/>
        <v>2167.3000000000006</v>
      </c>
      <c r="H39" s="102">
        <f t="shared" si="17"/>
        <v>44.8</v>
      </c>
      <c r="I39" s="102">
        <f t="shared" si="17"/>
        <v>0</v>
      </c>
      <c r="J39" s="219">
        <f>SUM(J8:J38)</f>
        <v>2212.1000000000004</v>
      </c>
      <c r="K39" s="101">
        <f>SUM(K8:K38)</f>
        <v>89.800000000000011</v>
      </c>
      <c r="L39" s="102">
        <f>SUM(L8:L38)</f>
        <v>42.70000000000001</v>
      </c>
      <c r="M39" s="102">
        <f t="shared" ref="M39" si="18">SUM(M8:M38)</f>
        <v>0</v>
      </c>
      <c r="N39" s="219">
        <f>SUM(N8:N38)</f>
        <v>132.50000000000003</v>
      </c>
      <c r="O39" s="101">
        <f>SUM(O8:O38)</f>
        <v>2960</v>
      </c>
      <c r="P39" s="102">
        <f>SUM(P8:P38)</f>
        <v>71.300000000000011</v>
      </c>
      <c r="Q39" s="102">
        <f t="shared" ref="Q39" si="19">SUM(Q8:Q38)</f>
        <v>0</v>
      </c>
      <c r="R39" s="219">
        <f>SUM(R8:R38)</f>
        <v>3031.3</v>
      </c>
      <c r="S39" s="101">
        <f>SUM(S8:S38)</f>
        <v>2705</v>
      </c>
      <c r="T39" s="102">
        <f>SUM(T8:T38)</f>
        <v>49</v>
      </c>
      <c r="U39" s="102">
        <f t="shared" ref="U39" si="20">SUM(U8:U38)</f>
        <v>0</v>
      </c>
      <c r="V39" s="219">
        <f>SUM(V8:V38)</f>
        <v>2754</v>
      </c>
      <c r="W39" s="101">
        <f>SUM(W8:W38)</f>
        <v>905</v>
      </c>
      <c r="X39" s="102">
        <f>SUM(X8:X38)</f>
        <v>24</v>
      </c>
      <c r="Y39" s="102">
        <f t="shared" ref="Y39" si="21">SUM(Y8:Y38)</f>
        <v>0</v>
      </c>
      <c r="Z39" s="219">
        <f>SUM(Z8:Z38)</f>
        <v>929</v>
      </c>
      <c r="AA39" s="220">
        <f>SUM(AA8:AA38)</f>
        <v>10551.9</v>
      </c>
      <c r="AB39" s="221" t="s">
        <v>51</v>
      </c>
      <c r="AC39" s="103"/>
      <c r="AD39" s="104" t="s">
        <v>96</v>
      </c>
      <c r="AE39" s="105"/>
      <c r="AF39" s="106">
        <f>SUM(AF8:AF38)</f>
        <v>10226.1</v>
      </c>
      <c r="AG39" s="106" t="e">
        <f>SUM(AG8:AG38)</f>
        <v>#VALUE!</v>
      </c>
      <c r="AH39" s="107">
        <f>SUM(AH8:AH38)</f>
        <v>0</v>
      </c>
      <c r="AI39" s="108"/>
      <c r="AJ39" s="109" t="s">
        <v>94</v>
      </c>
      <c r="AK39" s="110"/>
      <c r="AL39" s="111">
        <f>SUM(AL8:AL38)</f>
        <v>10226.1</v>
      </c>
      <c r="AM39" s="112" t="s">
        <v>64</v>
      </c>
      <c r="AN39" s="111" t="e">
        <f>SUM(AN8:AN38)</f>
        <v>#VALUE!</v>
      </c>
      <c r="AO39" s="113" t="s">
        <v>64</v>
      </c>
      <c r="AP39" s="111">
        <f>SUM(AP8:AP38)</f>
        <v>0</v>
      </c>
      <c r="AQ39" s="113" t="s">
        <v>64</v>
      </c>
    </row>
    <row r="40" spans="1:43" ht="33.75" customHeight="1" thickBot="1" x14ac:dyDescent="0.3">
      <c r="A40" s="308" t="s">
        <v>59</v>
      </c>
      <c r="B40" s="309"/>
      <c r="C40" s="114">
        <f>C39/1000</f>
        <v>1.399</v>
      </c>
      <c r="D40" s="115">
        <f t="shared" ref="D40:E40" si="22">D39/1000</f>
        <v>9.3999999999999986E-2</v>
      </c>
      <c r="E40" s="115">
        <f t="shared" si="22"/>
        <v>0</v>
      </c>
      <c r="F40" s="222">
        <f>F39/1000</f>
        <v>1.4930000000000001</v>
      </c>
      <c r="G40" s="116">
        <f>G39/1000</f>
        <v>2.1673000000000004</v>
      </c>
      <c r="H40" s="117">
        <f t="shared" ref="H40:I40" si="23">H39/1000</f>
        <v>4.48E-2</v>
      </c>
      <c r="I40" s="117">
        <f t="shared" si="23"/>
        <v>0</v>
      </c>
      <c r="J40" s="222">
        <f>J39/1000</f>
        <v>2.2121000000000004</v>
      </c>
      <c r="K40" s="116">
        <f>K39/1000</f>
        <v>8.9800000000000005E-2</v>
      </c>
      <c r="L40" s="117">
        <f t="shared" ref="L40:M40" si="24">L39/1000</f>
        <v>4.2700000000000009E-2</v>
      </c>
      <c r="M40" s="117">
        <f t="shared" si="24"/>
        <v>0</v>
      </c>
      <c r="N40" s="222">
        <f>N39/1000</f>
        <v>0.13250000000000003</v>
      </c>
      <c r="O40" s="116">
        <f>O39/1000</f>
        <v>2.96</v>
      </c>
      <c r="P40" s="117">
        <f t="shared" ref="P40:Q40" si="25">P39/1000</f>
        <v>7.1300000000000016E-2</v>
      </c>
      <c r="Q40" s="117">
        <f t="shared" si="25"/>
        <v>0</v>
      </c>
      <c r="R40" s="222">
        <f>R39/1000</f>
        <v>3.0313000000000003</v>
      </c>
      <c r="S40" s="116">
        <f>S39/1000</f>
        <v>2.7050000000000001</v>
      </c>
      <c r="T40" s="117">
        <f t="shared" ref="T40" si="26">T39/1000</f>
        <v>4.9000000000000002E-2</v>
      </c>
      <c r="U40" s="117">
        <f>U39/1000</f>
        <v>0</v>
      </c>
      <c r="V40" s="222">
        <f>V39/1000</f>
        <v>2.754</v>
      </c>
      <c r="W40" s="116">
        <f>W39/1000</f>
        <v>0.90500000000000003</v>
      </c>
      <c r="X40" s="117">
        <f t="shared" ref="X40:Y40" si="27">X39/1000</f>
        <v>2.4E-2</v>
      </c>
      <c r="Y40" s="117">
        <f t="shared" si="27"/>
        <v>0</v>
      </c>
      <c r="Z40" s="222">
        <f>Z39/1000</f>
        <v>0.92900000000000005</v>
      </c>
      <c r="AA40" s="223">
        <f>AA39/1000</f>
        <v>10.5519</v>
      </c>
      <c r="AB40" s="224" t="s">
        <v>52</v>
      </c>
      <c r="AC40" s="103"/>
      <c r="AD40" s="118" t="s">
        <v>97</v>
      </c>
      <c r="AE40" s="119"/>
      <c r="AF40" s="120">
        <f>AF39/1000</f>
        <v>10.226100000000001</v>
      </c>
      <c r="AG40" s="120" t="e">
        <f t="shared" ref="AG40:AH40" si="28">AG39/1000</f>
        <v>#VALUE!</v>
      </c>
      <c r="AH40" s="121">
        <f t="shared" si="28"/>
        <v>0</v>
      </c>
      <c r="AI40" s="108"/>
      <c r="AJ40" s="109" t="s">
        <v>95</v>
      </c>
      <c r="AK40" s="110"/>
      <c r="AL40" s="122">
        <f>AL39/1000</f>
        <v>10.226100000000001</v>
      </c>
      <c r="AM40" s="123">
        <f>AL40/AA40</f>
        <v>0.96912404401103125</v>
      </c>
      <c r="AN40" s="122" t="e">
        <f>AN39/1000</f>
        <v>#VALUE!</v>
      </c>
      <c r="AO40" s="124" t="e">
        <f>AN40/AA40</f>
        <v>#VALUE!</v>
      </c>
      <c r="AP40" s="122">
        <f>AP39/1000</f>
        <v>0</v>
      </c>
      <c r="AQ40" s="124">
        <f>AP40/AA40</f>
        <v>0</v>
      </c>
    </row>
    <row r="41" spans="1:43" ht="33.75" customHeight="1" thickBot="1" x14ac:dyDescent="0.3">
      <c r="A41" s="308" t="s">
        <v>74</v>
      </c>
      <c r="B41" s="309"/>
      <c r="C41" s="114">
        <f>_xlfn.AGGREGATE(1,7,C8:C38)</f>
        <v>46.633333333333333</v>
      </c>
      <c r="D41" s="114">
        <f>_xlfn.AGGREGATE(1,7,D8:D38)</f>
        <v>3.9166666666666661</v>
      </c>
      <c r="E41" s="114">
        <f>_xlfn.AGGREGATE(1,7,E8:E38)</f>
        <v>0</v>
      </c>
      <c r="F41" s="222">
        <f>AVERAGEIF(F8:F38,"&gt;0")</f>
        <v>62.208333333333336</v>
      </c>
      <c r="G41" s="114">
        <f>_xlfn.AGGREGATE(1,7,G8:G38)</f>
        <v>72.243333333333354</v>
      </c>
      <c r="H41" s="114">
        <f>_xlfn.AGGREGATE(1,7,H8:H38)</f>
        <v>2.1333333333333333</v>
      </c>
      <c r="I41" s="114">
        <f>_xlfn.AGGREGATE(1,7,I8:I38)</f>
        <v>0</v>
      </c>
      <c r="J41" s="222">
        <f>AVERAGEIF(J8:J38,"&gt;0")</f>
        <v>88.484000000000009</v>
      </c>
      <c r="K41" s="114">
        <f>_xlfn.AGGREGATE(1,7,K8:K38)</f>
        <v>3.0965517241379312</v>
      </c>
      <c r="L41" s="114">
        <f>_xlfn.AGGREGATE(1,7,L8:L38)</f>
        <v>2.5117647058823533</v>
      </c>
      <c r="M41" s="114">
        <f>_xlfn.AGGREGATE(1,7,M8:M38)</f>
        <v>0</v>
      </c>
      <c r="N41" s="222">
        <f>AVERAGEIF(N8:N38,"&gt;0")</f>
        <v>4.5689655172413799</v>
      </c>
      <c r="O41" s="114">
        <f>_xlfn.AGGREGATE(1,7,O8:O38)</f>
        <v>98.666666666666671</v>
      </c>
      <c r="P41" s="114">
        <f>_xlfn.AGGREGATE(1,7,P8:P38)</f>
        <v>3.2409090909090916</v>
      </c>
      <c r="Q41" s="114">
        <f>_xlfn.AGGREGATE(1,7,Q8:Q38)</f>
        <v>0</v>
      </c>
      <c r="R41" s="222">
        <f>AVERAGEIF(R8:R38,"&gt;0")</f>
        <v>121.25200000000001</v>
      </c>
      <c r="S41" s="114">
        <f>_xlfn.AGGREGATE(1,7,S8:S38)</f>
        <v>104.03846153846153</v>
      </c>
      <c r="T41" s="114">
        <f>_xlfn.AGGREGATE(1,7,T8:T38)</f>
        <v>2.3333333333333335</v>
      </c>
      <c r="U41" s="114">
        <f>_xlfn.AGGREGATE(1,7,U8:U38)</f>
        <v>0</v>
      </c>
      <c r="V41" s="222">
        <f>AVERAGEIF(V8:V38,"&gt;0")</f>
        <v>105.92307692307692</v>
      </c>
      <c r="W41" s="114">
        <f>_xlfn.AGGREGATE(1,7,W8:W38)</f>
        <v>30.166666666666668</v>
      </c>
      <c r="X41" s="114">
        <f>_xlfn.AGGREGATE(1,7,X8:X38)</f>
        <v>2.4</v>
      </c>
      <c r="Y41" s="114">
        <f>_xlfn.AGGREGATE(1,7,Y8:Y38)</f>
        <v>0</v>
      </c>
      <c r="Z41" s="222">
        <f>AVERAGEIF(Z8:Z38,"&gt;0")</f>
        <v>37.159999999999997</v>
      </c>
      <c r="AA41" s="223">
        <f>AVERAGEIF(AA8:AA38,"&gt;0")</f>
        <v>363.85862068965514</v>
      </c>
      <c r="AB41" s="225" t="s">
        <v>75</v>
      </c>
      <c r="AC41" s="103"/>
      <c r="AD41" s="118" t="s">
        <v>98</v>
      </c>
      <c r="AE41" s="119"/>
      <c r="AF41" s="125">
        <f>AVERAGEIF(AF8:AF38,"&gt;0")</f>
        <v>352.62413793103451</v>
      </c>
      <c r="AG41" s="125">
        <f>AVERAGEIF(AG8:AG38,"&gt;0")</f>
        <v>12.456</v>
      </c>
      <c r="AH41" s="125" t="e">
        <f>AVERAGEIF(AH8:AH38,"&gt;0")</f>
        <v>#DIV/0!</v>
      </c>
      <c r="AI41" s="108"/>
      <c r="AJ41" s="109" t="s">
        <v>99</v>
      </c>
      <c r="AK41" s="110"/>
      <c r="AL41" s="125">
        <f>AVERAGEIF(AL8:AL38,"&gt;0")</f>
        <v>352.62413793103451</v>
      </c>
      <c r="AM41" s="126" t="s">
        <v>64</v>
      </c>
      <c r="AN41" s="125">
        <f>AVERAGEIF(AN8:AN38,"&gt;0")</f>
        <v>12.456</v>
      </c>
      <c r="AO41" s="124" t="s">
        <v>64</v>
      </c>
      <c r="AP41" s="125" t="e">
        <f>AVERAGEIF(AP8:AP38,"&gt;0")</f>
        <v>#DIV/0!</v>
      </c>
      <c r="AQ41" s="124" t="s">
        <v>64</v>
      </c>
    </row>
    <row r="42" spans="1:43" x14ac:dyDescent="0.25">
      <c r="J42" s="89" t="s">
        <v>61</v>
      </c>
    </row>
    <row r="44" spans="1:43" x14ac:dyDescent="0.25">
      <c r="A44" s="128" t="s">
        <v>61</v>
      </c>
      <c r="C44" s="130" t="s">
        <v>50</v>
      </c>
      <c r="D44" s="131"/>
    </row>
    <row r="45" spans="1:43" x14ac:dyDescent="0.25">
      <c r="C45" s="132"/>
      <c r="D45" s="131" t="s">
        <v>133</v>
      </c>
    </row>
    <row r="46" spans="1:43" x14ac:dyDescent="0.25">
      <c r="C46" s="133"/>
      <c r="D46" s="131" t="s">
        <v>100</v>
      </c>
    </row>
    <row r="47" spans="1:43" x14ac:dyDescent="0.25">
      <c r="C47" s="134"/>
      <c r="D47" s="131" t="s">
        <v>100</v>
      </c>
    </row>
    <row r="48" spans="1:43" x14ac:dyDescent="0.25">
      <c r="C48" s="135"/>
      <c r="D48" s="131" t="s">
        <v>100</v>
      </c>
    </row>
    <row r="49" spans="3:5" x14ac:dyDescent="0.25">
      <c r="C49" s="136"/>
      <c r="D49" s="131" t="s">
        <v>100</v>
      </c>
    </row>
    <row r="50" spans="3:5" x14ac:dyDescent="0.25">
      <c r="C50" s="137"/>
      <c r="D50" s="131" t="s">
        <v>100</v>
      </c>
    </row>
    <row r="51" spans="3:5" x14ac:dyDescent="0.25">
      <c r="E51" s="129" t="s">
        <v>61</v>
      </c>
    </row>
  </sheetData>
  <sheetProtection algorithmName="SHA-512" hashValue="P8lbzP3Q66ryLHOwNV4VHN8Dy5CEEGgzhI1H4N3VmRRFXaO/IcsaP9rQfFasz1CoorYiJqMRBko0StBu0+JXUg==" saltValue="fNA8yhONbxlo+E04jwx7aw==" spinCount="100000" sheet="1" objects="1" scenarios="1" formatColumns="0" formatRows="0"/>
  <mergeCells count="14">
    <mergeCell ref="A41:B41"/>
    <mergeCell ref="W6:Y6"/>
    <mergeCell ref="A4:A7"/>
    <mergeCell ref="B4:B7"/>
    <mergeCell ref="A39:B39"/>
    <mergeCell ref="A40:B40"/>
    <mergeCell ref="AJ6:AQ6"/>
    <mergeCell ref="AA3:AA7"/>
    <mergeCell ref="AB3:AB7"/>
    <mergeCell ref="C6:E6"/>
    <mergeCell ref="G6:I6"/>
    <mergeCell ref="K6:M6"/>
    <mergeCell ref="O6:Q6"/>
    <mergeCell ref="S6:U6"/>
  </mergeCells>
  <printOptions horizontalCentered="1"/>
  <pageMargins left="0.19685039370078741" right="0.19685039370078741" top="0.39370078740157483" bottom="0.39370078740157483" header="0.11811023622047245" footer="0.11811023622047245"/>
  <pageSetup paperSize="9" scale="68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8B6A5-04EC-4CE0-BE53-0B9ADE2B74D1}">
  <sheetPr>
    <tabColor rgb="FFCCFFFF"/>
    <pageSetUpPr fitToPage="1"/>
  </sheetPr>
  <dimension ref="A1:AQ51"/>
  <sheetViews>
    <sheetView showGridLines="0" view="pageBreakPreview" zoomScale="80" zoomScaleNormal="107" zoomScaleSheetLayoutView="80" workbookViewId="0">
      <pane xSplit="2" ySplit="7" topLeftCell="C8" activePane="bottomRight" state="frozen"/>
      <selection activeCell="H31" sqref="H31"/>
      <selection pane="topRight" activeCell="H31" sqref="H31"/>
      <selection pane="bottomLeft" activeCell="H31" sqref="H31"/>
      <selection pane="bottomRight" activeCell="H14" sqref="H14"/>
    </sheetView>
  </sheetViews>
  <sheetFormatPr defaultColWidth="9.140625" defaultRowHeight="15" x14ac:dyDescent="0.25"/>
  <cols>
    <col min="1" max="1" width="11.42578125" style="128" customWidth="1"/>
    <col min="2" max="2" width="7.28515625" style="128" customWidth="1"/>
    <col min="3" max="3" width="8.5703125" style="129" customWidth="1"/>
    <col min="4" max="5" width="6.5703125" style="129" customWidth="1"/>
    <col min="6" max="6" width="8.140625" style="89" customWidth="1"/>
    <col min="7" max="9" width="6.5703125" style="129" customWidth="1"/>
    <col min="10" max="10" width="6.5703125" style="89" customWidth="1"/>
    <col min="11" max="13" width="6.5703125" style="129" customWidth="1"/>
    <col min="14" max="14" width="6.5703125" style="89" customWidth="1"/>
    <col min="15" max="15" width="7.7109375" style="129" customWidth="1"/>
    <col min="16" max="17" width="6.5703125" style="129" customWidth="1"/>
    <col min="18" max="18" width="7.7109375" style="89" customWidth="1"/>
    <col min="19" max="19" width="7.85546875" style="129" customWidth="1"/>
    <col min="20" max="21" width="6.5703125" style="129" customWidth="1"/>
    <col min="22" max="22" width="8.28515625" style="89" customWidth="1"/>
    <col min="23" max="23" width="8.42578125" style="129" customWidth="1"/>
    <col min="24" max="25" width="6.5703125" style="129" customWidth="1"/>
    <col min="26" max="26" width="7.85546875" style="89" customWidth="1"/>
    <col min="27" max="27" width="10.42578125" style="91" customWidth="1"/>
    <col min="28" max="28" width="12" style="98" customWidth="1"/>
    <col min="29" max="29" width="8.5703125" style="98" hidden="1" customWidth="1"/>
    <col min="30" max="30" width="14.140625" style="129" hidden="1" customWidth="1"/>
    <col min="31" max="31" width="4.5703125" style="129" hidden="1" customWidth="1"/>
    <col min="32" max="32" width="11.7109375" style="129" hidden="1" customWidth="1"/>
    <col min="33" max="34" width="10.7109375" style="129" hidden="1" customWidth="1"/>
    <col min="35" max="35" width="8.5703125" style="129" hidden="1" customWidth="1"/>
    <col min="36" max="36" width="15.85546875" style="129" hidden="1" customWidth="1"/>
    <col min="37" max="37" width="4.5703125" style="129" hidden="1" customWidth="1"/>
    <col min="38" max="38" width="7.7109375" style="129" hidden="1" customWidth="1"/>
    <col min="39" max="39" width="11.5703125" style="129" hidden="1" customWidth="1"/>
    <col min="40" max="40" width="6.5703125" style="129" hidden="1" customWidth="1"/>
    <col min="41" max="41" width="11.85546875" style="129" hidden="1" customWidth="1"/>
    <col min="42" max="42" width="6.5703125" style="129" hidden="1" customWidth="1"/>
    <col min="43" max="43" width="11.85546875" style="129" hidden="1" customWidth="1"/>
    <col min="44" max="16384" width="9.140625" style="98"/>
  </cols>
  <sheetData>
    <row r="1" spans="1:43" x14ac:dyDescent="0.25">
      <c r="A1" s="226" t="s">
        <v>116</v>
      </c>
      <c r="B1" s="227" t="str">
        <f>'Rekap Neraca Pengelolaan Sampah'!C3</f>
        <v>PT PELINDO DAYA SEJAHTERA</v>
      </c>
    </row>
    <row r="2" spans="1:43" ht="15.75" thickBot="1" x14ac:dyDescent="0.3">
      <c r="A2" s="226" t="s">
        <v>42</v>
      </c>
      <c r="B2" s="227">
        <f>'Rekap Neraca Pengelolaan Sampah'!G2</f>
        <v>2025</v>
      </c>
    </row>
    <row r="3" spans="1:43" ht="15.75" thickBot="1" x14ac:dyDescent="0.3">
      <c r="A3" s="160" t="s">
        <v>2</v>
      </c>
      <c r="B3" s="82" t="s">
        <v>35</v>
      </c>
      <c r="C3" s="160" t="s">
        <v>36</v>
      </c>
      <c r="D3" s="90"/>
      <c r="E3" s="90"/>
      <c r="F3" s="82"/>
      <c r="G3" s="160" t="s">
        <v>36</v>
      </c>
      <c r="H3" s="90"/>
      <c r="I3" s="90"/>
      <c r="J3" s="90"/>
      <c r="K3" s="160" t="s">
        <v>36</v>
      </c>
      <c r="L3" s="90"/>
      <c r="M3" s="90"/>
      <c r="N3" s="90"/>
      <c r="O3" s="160" t="s">
        <v>36</v>
      </c>
      <c r="P3" s="90"/>
      <c r="Q3" s="90"/>
      <c r="R3" s="90"/>
      <c r="S3" s="160" t="s">
        <v>36</v>
      </c>
      <c r="T3" s="90"/>
      <c r="U3" s="90"/>
      <c r="V3" s="90"/>
      <c r="W3" s="160" t="s">
        <v>36</v>
      </c>
      <c r="X3" s="90"/>
      <c r="Y3" s="90"/>
      <c r="Z3" s="90"/>
      <c r="AA3" s="297" t="s">
        <v>125</v>
      </c>
      <c r="AB3" s="300" t="s">
        <v>57</v>
      </c>
      <c r="AD3" s="161" t="s">
        <v>54</v>
      </c>
      <c r="AE3" s="162"/>
      <c r="AF3" s="162"/>
      <c r="AG3" s="162"/>
      <c r="AH3" s="163"/>
      <c r="AI3" s="91"/>
      <c r="AJ3" s="164" t="s">
        <v>56</v>
      </c>
      <c r="AK3" s="165"/>
      <c r="AL3" s="165"/>
      <c r="AM3" s="165"/>
      <c r="AN3" s="165"/>
      <c r="AO3" s="165"/>
      <c r="AP3" s="165"/>
      <c r="AQ3" s="165"/>
    </row>
    <row r="4" spans="1:43" x14ac:dyDescent="0.25">
      <c r="A4" s="310" t="s">
        <v>0</v>
      </c>
      <c r="B4" s="313" t="s">
        <v>87</v>
      </c>
      <c r="C4" s="98" t="s">
        <v>37</v>
      </c>
      <c r="D4" s="98"/>
      <c r="E4" s="98"/>
      <c r="F4" s="83"/>
      <c r="G4" s="166" t="s">
        <v>37</v>
      </c>
      <c r="H4" s="98"/>
      <c r="I4" s="98"/>
      <c r="J4" s="91"/>
      <c r="K4" s="166" t="s">
        <v>37</v>
      </c>
      <c r="L4" s="98"/>
      <c r="M4" s="98"/>
      <c r="N4" s="91"/>
      <c r="O4" s="166" t="s">
        <v>37</v>
      </c>
      <c r="P4" s="98"/>
      <c r="Q4" s="98"/>
      <c r="R4" s="91"/>
      <c r="S4" s="166" t="s">
        <v>37</v>
      </c>
      <c r="T4" s="98"/>
      <c r="U4" s="98"/>
      <c r="V4" s="91"/>
      <c r="W4" s="166" t="s">
        <v>37</v>
      </c>
      <c r="X4" s="98"/>
      <c r="Y4" s="98"/>
      <c r="Z4" s="91"/>
      <c r="AA4" s="298"/>
      <c r="AB4" s="301"/>
      <c r="AD4" s="167" t="s">
        <v>55</v>
      </c>
      <c r="AE4" s="168"/>
      <c r="AF4" s="168"/>
      <c r="AG4" s="169"/>
      <c r="AH4" s="170"/>
      <c r="AI4" s="98"/>
      <c r="AJ4" s="171" t="s">
        <v>126</v>
      </c>
      <c r="AK4" s="172"/>
      <c r="AL4" s="172"/>
      <c r="AM4" s="173"/>
      <c r="AN4" s="173"/>
      <c r="AO4" s="173"/>
      <c r="AP4" s="173"/>
      <c r="AQ4" s="173"/>
    </row>
    <row r="5" spans="1:43" ht="15.75" thickBot="1" x14ac:dyDescent="0.3">
      <c r="A5" s="311"/>
      <c r="B5" s="314"/>
      <c r="C5" s="91" t="s">
        <v>3</v>
      </c>
      <c r="D5" s="91"/>
      <c r="E5" s="91"/>
      <c r="F5" s="83"/>
      <c r="G5" s="174" t="s">
        <v>3</v>
      </c>
      <c r="H5" s="91"/>
      <c r="I5" s="91"/>
      <c r="J5" s="91"/>
      <c r="K5" s="174" t="s">
        <v>3</v>
      </c>
      <c r="L5" s="91"/>
      <c r="M5" s="91"/>
      <c r="N5" s="91"/>
      <c r="O5" s="174" t="s">
        <v>3</v>
      </c>
      <c r="P5" s="91"/>
      <c r="Q5" s="91"/>
      <c r="R5" s="91"/>
      <c r="S5" s="174" t="s">
        <v>3</v>
      </c>
      <c r="T5" s="91"/>
      <c r="U5" s="91"/>
      <c r="V5" s="91"/>
      <c r="W5" s="174" t="s">
        <v>3</v>
      </c>
      <c r="X5" s="91"/>
      <c r="Y5" s="91"/>
      <c r="Z5" s="91"/>
      <c r="AA5" s="298"/>
      <c r="AB5" s="301"/>
      <c r="AD5" s="175" t="s">
        <v>37</v>
      </c>
      <c r="AE5" s="169"/>
      <c r="AF5" s="169"/>
      <c r="AG5" s="168"/>
      <c r="AH5" s="176"/>
      <c r="AI5" s="91"/>
      <c r="AJ5" s="177" t="s">
        <v>91</v>
      </c>
      <c r="AK5" s="178" t="str">
        <f>B3</f>
        <v>Mei</v>
      </c>
      <c r="AL5" s="178" t="s">
        <v>63</v>
      </c>
      <c r="AM5" s="178" t="str">
        <f>B4</f>
        <v>Tanggal</v>
      </c>
      <c r="AN5" s="179"/>
      <c r="AO5" s="179"/>
      <c r="AP5" s="179"/>
      <c r="AQ5" s="179"/>
    </row>
    <row r="6" spans="1:43" ht="30.75" customHeight="1" thickBot="1" x14ac:dyDescent="0.3">
      <c r="A6" s="311"/>
      <c r="B6" s="314"/>
      <c r="C6" s="316" t="s">
        <v>109</v>
      </c>
      <c r="D6" s="303"/>
      <c r="E6" s="303"/>
      <c r="F6" s="84"/>
      <c r="G6" s="304" t="s">
        <v>123</v>
      </c>
      <c r="H6" s="305"/>
      <c r="I6" s="305"/>
      <c r="J6" s="92"/>
      <c r="K6" s="306" t="s">
        <v>111</v>
      </c>
      <c r="L6" s="307"/>
      <c r="M6" s="307"/>
      <c r="N6" s="93"/>
      <c r="O6" s="306" t="s">
        <v>115</v>
      </c>
      <c r="P6" s="307"/>
      <c r="Q6" s="307"/>
      <c r="R6" s="93"/>
      <c r="S6" s="304" t="s">
        <v>124</v>
      </c>
      <c r="T6" s="305"/>
      <c r="U6" s="305"/>
      <c r="V6" s="92"/>
      <c r="W6" s="304" t="s">
        <v>84</v>
      </c>
      <c r="X6" s="305"/>
      <c r="Y6" s="305"/>
      <c r="Z6" s="93"/>
      <c r="AA6" s="298"/>
      <c r="AB6" s="301"/>
      <c r="AD6" s="180" t="s">
        <v>91</v>
      </c>
      <c r="AE6" s="181" t="str">
        <f>B3</f>
        <v>Mei</v>
      </c>
      <c r="AF6" s="181" t="s">
        <v>63</v>
      </c>
      <c r="AG6" s="169" t="str">
        <f>B4</f>
        <v>Tanggal</v>
      </c>
      <c r="AH6" s="170"/>
      <c r="AI6" s="98"/>
      <c r="AJ6" s="296" t="s">
        <v>93</v>
      </c>
      <c r="AK6" s="296"/>
      <c r="AL6" s="296"/>
      <c r="AM6" s="296"/>
      <c r="AN6" s="296"/>
      <c r="AO6" s="296"/>
      <c r="AP6" s="296"/>
      <c r="AQ6" s="296"/>
    </row>
    <row r="7" spans="1:43" s="191" customFormat="1" ht="120.75" customHeight="1" thickBot="1" x14ac:dyDescent="0.3">
      <c r="A7" s="312"/>
      <c r="B7" s="315"/>
      <c r="C7" s="184" t="s">
        <v>85</v>
      </c>
      <c r="D7" s="182" t="s">
        <v>108</v>
      </c>
      <c r="E7" s="183" t="s">
        <v>145</v>
      </c>
      <c r="F7" s="85" t="s">
        <v>131</v>
      </c>
      <c r="G7" s="184" t="s">
        <v>85</v>
      </c>
      <c r="H7" s="182" t="s">
        <v>108</v>
      </c>
      <c r="I7" s="183" t="s">
        <v>145</v>
      </c>
      <c r="J7" s="85" t="s">
        <v>131</v>
      </c>
      <c r="K7" s="184" t="s">
        <v>85</v>
      </c>
      <c r="L7" s="182" t="s">
        <v>108</v>
      </c>
      <c r="M7" s="183" t="s">
        <v>145</v>
      </c>
      <c r="N7" s="85" t="s">
        <v>131</v>
      </c>
      <c r="O7" s="184" t="s">
        <v>85</v>
      </c>
      <c r="P7" s="182" t="s">
        <v>108</v>
      </c>
      <c r="Q7" s="183" t="s">
        <v>145</v>
      </c>
      <c r="R7" s="85" t="s">
        <v>131</v>
      </c>
      <c r="S7" s="184" t="s">
        <v>85</v>
      </c>
      <c r="T7" s="182" t="s">
        <v>108</v>
      </c>
      <c r="U7" s="183" t="s">
        <v>145</v>
      </c>
      <c r="V7" s="85" t="s">
        <v>131</v>
      </c>
      <c r="W7" s="184" t="s">
        <v>85</v>
      </c>
      <c r="X7" s="182" t="s">
        <v>108</v>
      </c>
      <c r="Y7" s="183" t="s">
        <v>145</v>
      </c>
      <c r="Z7" s="85" t="s">
        <v>131</v>
      </c>
      <c r="AA7" s="299"/>
      <c r="AB7" s="302"/>
      <c r="AC7" s="185"/>
      <c r="AD7" s="186" t="s">
        <v>90</v>
      </c>
      <c r="AE7" s="187" t="s">
        <v>87</v>
      </c>
      <c r="AF7" s="188" t="s">
        <v>92</v>
      </c>
      <c r="AG7" s="188" t="s">
        <v>110</v>
      </c>
      <c r="AH7" s="188" t="s">
        <v>101</v>
      </c>
      <c r="AI7" s="185"/>
      <c r="AJ7" s="189" t="s">
        <v>90</v>
      </c>
      <c r="AK7" s="189" t="s">
        <v>87</v>
      </c>
      <c r="AL7" s="190" t="s">
        <v>40</v>
      </c>
      <c r="AM7" s="190" t="s">
        <v>60</v>
      </c>
      <c r="AN7" s="190" t="s">
        <v>38</v>
      </c>
      <c r="AO7" s="190" t="s">
        <v>39</v>
      </c>
      <c r="AP7" s="190" t="s">
        <v>103</v>
      </c>
      <c r="AQ7" s="190" t="s">
        <v>102</v>
      </c>
    </row>
    <row r="8" spans="1:43" x14ac:dyDescent="0.25">
      <c r="A8" s="154">
        <v>1</v>
      </c>
      <c r="B8" s="155" t="s">
        <v>4</v>
      </c>
      <c r="C8" s="257">
        <f>[7]Mei!C8+[3]Mei!J6</f>
        <v>0</v>
      </c>
      <c r="D8" s="258"/>
      <c r="E8" s="258"/>
      <c r="F8" s="86">
        <f t="shared" ref="F8:F38" si="0">SUM(C8:E8)</f>
        <v>0</v>
      </c>
      <c r="G8" s="263">
        <f>[7]Mei!G8+[7]Mei!G8</f>
        <v>6.2</v>
      </c>
      <c r="H8" s="258">
        <v>0.9</v>
      </c>
      <c r="I8" s="258"/>
      <c r="J8" s="86">
        <f t="shared" ref="J8:J38" si="1">SUM(G8:I8)</f>
        <v>7.1000000000000005</v>
      </c>
      <c r="K8" s="263">
        <v>2.5</v>
      </c>
      <c r="L8" s="258">
        <v>2.1</v>
      </c>
      <c r="M8" s="258"/>
      <c r="N8" s="86">
        <f t="shared" ref="N8:N38" si="2">SUM(K8:M8)</f>
        <v>4.5999999999999996</v>
      </c>
      <c r="O8" s="263">
        <f>[7]Mei!O8+[3]Mei!X6</f>
        <v>4.7</v>
      </c>
      <c r="P8" s="258">
        <v>3.3</v>
      </c>
      <c r="Q8" s="258"/>
      <c r="R8" s="86">
        <f t="shared" ref="R8:R38" si="3">SUM(O8:Q8)</f>
        <v>8</v>
      </c>
      <c r="S8" s="263">
        <v>100</v>
      </c>
      <c r="T8" s="258">
        <v>1</v>
      </c>
      <c r="U8" s="258"/>
      <c r="V8" s="86">
        <f t="shared" ref="V8:V38" si="4">SUM(S8:U8)</f>
        <v>101</v>
      </c>
      <c r="W8" s="263">
        <v>0</v>
      </c>
      <c r="X8" s="258"/>
      <c r="Y8" s="258"/>
      <c r="Z8" s="86">
        <f t="shared" ref="Z8:Z38" si="5">SUM(W8:Y8)</f>
        <v>0</v>
      </c>
      <c r="AA8" s="94">
        <f>(F8+J8+N8+R8+V8+Z8)</f>
        <v>120.7</v>
      </c>
      <c r="AB8" s="95" t="s">
        <v>53</v>
      </c>
      <c r="AC8" s="138"/>
      <c r="AD8" s="139">
        <v>1</v>
      </c>
      <c r="AE8" s="140" t="s">
        <v>4</v>
      </c>
      <c r="AF8" s="141">
        <f t="shared" ref="AF8:AG16" si="6">(C8+G8+K8+O8+S8+W8)</f>
        <v>113.4</v>
      </c>
      <c r="AG8" s="141">
        <f t="shared" si="6"/>
        <v>7.3</v>
      </c>
      <c r="AH8" s="141">
        <f t="shared" ref="AH8:AH16" si="7">(E8+I8+M8+Q8++U8+Y8)</f>
        <v>0</v>
      </c>
      <c r="AI8" s="108"/>
      <c r="AJ8" s="142">
        <v>1</v>
      </c>
      <c r="AK8" s="143" t="s">
        <v>4</v>
      </c>
      <c r="AL8" s="144">
        <f t="shared" ref="AL8:AL38" si="8">AF8</f>
        <v>113.4</v>
      </c>
      <c r="AM8" s="145">
        <f t="shared" ref="AM8:AM38" si="9">AL8/AA8</f>
        <v>0.93951946975973488</v>
      </c>
      <c r="AN8" s="144">
        <f>AG8</f>
        <v>7.3</v>
      </c>
      <c r="AO8" s="145">
        <f t="shared" ref="AO8:AO38" si="10">AN8/AA8</f>
        <v>6.0480530240265118E-2</v>
      </c>
      <c r="AP8" s="144">
        <f>AH8</f>
        <v>0</v>
      </c>
      <c r="AQ8" s="145">
        <f t="shared" ref="AQ8:AQ38" si="11">AP8/AA8</f>
        <v>0</v>
      </c>
    </row>
    <row r="9" spans="1:43" x14ac:dyDescent="0.25">
      <c r="A9" s="156">
        <v>2</v>
      </c>
      <c r="B9" s="157" t="s">
        <v>5</v>
      </c>
      <c r="C9" s="259">
        <f>[7]Mei!C9+[3]Mei!J7</f>
        <v>20</v>
      </c>
      <c r="D9" s="260">
        <v>2</v>
      </c>
      <c r="E9" s="258"/>
      <c r="F9" s="87">
        <f t="shared" si="0"/>
        <v>22</v>
      </c>
      <c r="G9" s="264">
        <f>[7]Mei!G9+[7]Mei!G9</f>
        <v>25.8</v>
      </c>
      <c r="H9" s="260">
        <f>3.1+1</f>
        <v>4.0999999999999996</v>
      </c>
      <c r="I9" s="260"/>
      <c r="J9" s="87">
        <f t="shared" si="1"/>
        <v>29.9</v>
      </c>
      <c r="K9" s="264">
        <v>1.7</v>
      </c>
      <c r="L9" s="260">
        <v>1.2</v>
      </c>
      <c r="M9" s="260"/>
      <c r="N9" s="87">
        <f t="shared" si="2"/>
        <v>2.9</v>
      </c>
      <c r="O9" s="264">
        <f>[7]Mei!O9+[3]Mei!X7</f>
        <v>23.9</v>
      </c>
      <c r="P9" s="260">
        <v>3.3</v>
      </c>
      <c r="Q9" s="260"/>
      <c r="R9" s="87">
        <f t="shared" si="3"/>
        <v>27.2</v>
      </c>
      <c r="S9" s="264">
        <f>150+100</f>
        <v>250</v>
      </c>
      <c r="T9" s="260">
        <f>4+2</f>
        <v>6</v>
      </c>
      <c r="U9" s="260"/>
      <c r="V9" s="87">
        <f t="shared" si="4"/>
        <v>256</v>
      </c>
      <c r="W9" s="264">
        <v>150</v>
      </c>
      <c r="X9" s="260">
        <v>2</v>
      </c>
      <c r="Y9" s="260"/>
      <c r="Z9" s="87">
        <f t="shared" si="5"/>
        <v>152</v>
      </c>
      <c r="AA9" s="94">
        <f t="shared" ref="AA9:AA38" si="12">(F9+J9+N9+R9+V9+Z9)</f>
        <v>490</v>
      </c>
      <c r="AB9" s="96" t="s">
        <v>53</v>
      </c>
      <c r="AC9" s="138"/>
      <c r="AD9" s="146">
        <v>2</v>
      </c>
      <c r="AE9" s="147" t="s">
        <v>5</v>
      </c>
      <c r="AF9" s="141">
        <f t="shared" si="6"/>
        <v>471.4</v>
      </c>
      <c r="AG9" s="141">
        <f t="shared" si="6"/>
        <v>18.600000000000001</v>
      </c>
      <c r="AH9" s="141">
        <f t="shared" si="7"/>
        <v>0</v>
      </c>
      <c r="AI9" s="108"/>
      <c r="AJ9" s="148">
        <v>2</v>
      </c>
      <c r="AK9" s="149" t="s">
        <v>5</v>
      </c>
      <c r="AL9" s="144">
        <f t="shared" si="8"/>
        <v>471.4</v>
      </c>
      <c r="AM9" s="145">
        <f t="shared" si="9"/>
        <v>0.9620408163265306</v>
      </c>
      <c r="AN9" s="144">
        <f t="shared" ref="AN9:AN38" si="13">AG9</f>
        <v>18.600000000000001</v>
      </c>
      <c r="AO9" s="145">
        <f t="shared" si="10"/>
        <v>3.7959183673469392E-2</v>
      </c>
      <c r="AP9" s="144">
        <f t="shared" ref="AP9:AP38" si="14">AH9</f>
        <v>0</v>
      </c>
      <c r="AQ9" s="145">
        <f t="shared" si="11"/>
        <v>0</v>
      </c>
    </row>
    <row r="10" spans="1:43" x14ac:dyDescent="0.25">
      <c r="A10" s="156">
        <v>3</v>
      </c>
      <c r="B10" s="157" t="s">
        <v>6</v>
      </c>
      <c r="C10" s="259">
        <f>[7]Mei!C10+[3]Mei!J8</f>
        <v>20</v>
      </c>
      <c r="D10" s="260">
        <v>2</v>
      </c>
      <c r="E10" s="258"/>
      <c r="F10" s="87">
        <f t="shared" si="0"/>
        <v>22</v>
      </c>
      <c r="G10" s="264">
        <f>[7]Mei!G10+[7]Mei!G10</f>
        <v>25.4</v>
      </c>
      <c r="H10" s="260">
        <v>4.5</v>
      </c>
      <c r="I10" s="260"/>
      <c r="J10" s="87">
        <f t="shared" si="1"/>
        <v>29.9</v>
      </c>
      <c r="K10" s="264">
        <v>2.4</v>
      </c>
      <c r="L10" s="260">
        <v>1.1000000000000001</v>
      </c>
      <c r="M10" s="260"/>
      <c r="N10" s="87">
        <f t="shared" si="2"/>
        <v>3.5</v>
      </c>
      <c r="O10" s="264">
        <f>[7]Mei!O10+[3]Mei!X8</f>
        <v>224.2</v>
      </c>
      <c r="P10" s="260">
        <f>2.9+2</f>
        <v>4.9000000000000004</v>
      </c>
      <c r="Q10" s="260"/>
      <c r="R10" s="87">
        <f t="shared" si="3"/>
        <v>229.1</v>
      </c>
      <c r="S10" s="264">
        <f>10+100</f>
        <v>110</v>
      </c>
      <c r="T10" s="260">
        <f>4+1</f>
        <v>5</v>
      </c>
      <c r="U10" s="260"/>
      <c r="V10" s="87">
        <f t="shared" si="4"/>
        <v>115</v>
      </c>
      <c r="W10" s="264">
        <v>40</v>
      </c>
      <c r="X10" s="260">
        <v>2</v>
      </c>
      <c r="Y10" s="260"/>
      <c r="Z10" s="87">
        <f t="shared" si="5"/>
        <v>42</v>
      </c>
      <c r="AA10" s="94">
        <f t="shared" si="12"/>
        <v>441.5</v>
      </c>
      <c r="AB10" s="96" t="s">
        <v>53</v>
      </c>
      <c r="AC10" s="138"/>
      <c r="AD10" s="146">
        <v>3</v>
      </c>
      <c r="AE10" s="147" t="s">
        <v>6</v>
      </c>
      <c r="AF10" s="141">
        <f t="shared" si="6"/>
        <v>422</v>
      </c>
      <c r="AG10" s="141">
        <f t="shared" si="6"/>
        <v>19.5</v>
      </c>
      <c r="AH10" s="141">
        <f t="shared" si="7"/>
        <v>0</v>
      </c>
      <c r="AI10" s="108"/>
      <c r="AJ10" s="148">
        <v>3</v>
      </c>
      <c r="AK10" s="149" t="s">
        <v>6</v>
      </c>
      <c r="AL10" s="144">
        <f t="shared" si="8"/>
        <v>422</v>
      </c>
      <c r="AM10" s="145">
        <f t="shared" si="9"/>
        <v>0.95583238958097394</v>
      </c>
      <c r="AN10" s="144">
        <f t="shared" si="13"/>
        <v>19.5</v>
      </c>
      <c r="AO10" s="145">
        <f t="shared" si="10"/>
        <v>4.4167610419026046E-2</v>
      </c>
      <c r="AP10" s="144">
        <f t="shared" si="14"/>
        <v>0</v>
      </c>
      <c r="AQ10" s="145">
        <f t="shared" si="11"/>
        <v>0</v>
      </c>
    </row>
    <row r="11" spans="1:43" x14ac:dyDescent="0.25">
      <c r="A11" s="156">
        <v>4</v>
      </c>
      <c r="B11" s="157" t="s">
        <v>7</v>
      </c>
      <c r="C11" s="259">
        <f>[7]Mei!C11+[3]Mei!J9</f>
        <v>0</v>
      </c>
      <c r="D11" s="260"/>
      <c r="E11" s="258"/>
      <c r="F11" s="87">
        <f t="shared" si="0"/>
        <v>0</v>
      </c>
      <c r="G11" s="264">
        <f>[7]Mei!G11+[7]Mei!G11</f>
        <v>6.4</v>
      </c>
      <c r="H11" s="260">
        <v>1.1000000000000001</v>
      </c>
      <c r="I11" s="260"/>
      <c r="J11" s="87">
        <f t="shared" si="1"/>
        <v>7.5</v>
      </c>
      <c r="K11" s="264">
        <v>1.8</v>
      </c>
      <c r="L11" s="260">
        <v>3.4</v>
      </c>
      <c r="M11" s="260"/>
      <c r="N11" s="87">
        <f t="shared" si="2"/>
        <v>5.2</v>
      </c>
      <c r="O11" s="264">
        <f>[7]Mei!O11+[3]Mei!X9</f>
        <v>3.1</v>
      </c>
      <c r="P11" s="260">
        <v>1.1000000000000001</v>
      </c>
      <c r="Q11" s="260"/>
      <c r="R11" s="87">
        <f t="shared" si="3"/>
        <v>4.2</v>
      </c>
      <c r="S11" s="264">
        <v>50</v>
      </c>
      <c r="T11" s="260">
        <v>2</v>
      </c>
      <c r="U11" s="260"/>
      <c r="V11" s="87">
        <f t="shared" si="4"/>
        <v>52</v>
      </c>
      <c r="W11" s="264">
        <v>10</v>
      </c>
      <c r="X11" s="260">
        <v>1</v>
      </c>
      <c r="Y11" s="260"/>
      <c r="Z11" s="87">
        <f t="shared" si="5"/>
        <v>11</v>
      </c>
      <c r="AA11" s="94">
        <f t="shared" si="12"/>
        <v>79.900000000000006</v>
      </c>
      <c r="AB11" s="96" t="s">
        <v>53</v>
      </c>
      <c r="AC11" s="138"/>
      <c r="AD11" s="146">
        <v>4</v>
      </c>
      <c r="AE11" s="147" t="s">
        <v>7</v>
      </c>
      <c r="AF11" s="141">
        <f t="shared" si="6"/>
        <v>71.3</v>
      </c>
      <c r="AG11" s="141">
        <f t="shared" si="6"/>
        <v>8.6</v>
      </c>
      <c r="AH11" s="141">
        <f t="shared" si="7"/>
        <v>0</v>
      </c>
      <c r="AI11" s="108"/>
      <c r="AJ11" s="148">
        <v>4</v>
      </c>
      <c r="AK11" s="149" t="s">
        <v>7</v>
      </c>
      <c r="AL11" s="144">
        <f t="shared" si="8"/>
        <v>71.3</v>
      </c>
      <c r="AM11" s="145">
        <f t="shared" si="9"/>
        <v>0.89236545682102619</v>
      </c>
      <c r="AN11" s="144">
        <f t="shared" si="13"/>
        <v>8.6</v>
      </c>
      <c r="AO11" s="145">
        <f t="shared" si="10"/>
        <v>0.10763454317897371</v>
      </c>
      <c r="AP11" s="144">
        <f t="shared" si="14"/>
        <v>0</v>
      </c>
      <c r="AQ11" s="145">
        <f t="shared" si="11"/>
        <v>0</v>
      </c>
    </row>
    <row r="12" spans="1:43" x14ac:dyDescent="0.25">
      <c r="A12" s="156">
        <v>5</v>
      </c>
      <c r="B12" s="157" t="s">
        <v>8</v>
      </c>
      <c r="C12" s="259">
        <f>[7]Mei!C12+[3]Mei!J10</f>
        <v>120</v>
      </c>
      <c r="D12" s="260">
        <f>3.1+2</f>
        <v>5.0999999999999996</v>
      </c>
      <c r="E12" s="258"/>
      <c r="F12" s="87">
        <f t="shared" si="0"/>
        <v>125.1</v>
      </c>
      <c r="G12" s="264">
        <f>[7]Mei!G12+[7]Mei!G12</f>
        <v>26.8</v>
      </c>
      <c r="H12" s="260">
        <f>5.3+1</f>
        <v>6.3</v>
      </c>
      <c r="I12" s="260"/>
      <c r="J12" s="87">
        <f t="shared" si="1"/>
        <v>33.1</v>
      </c>
      <c r="K12" s="264">
        <v>1.4</v>
      </c>
      <c r="L12" s="260">
        <v>2.1</v>
      </c>
      <c r="M12" s="260"/>
      <c r="N12" s="87">
        <f t="shared" si="2"/>
        <v>3.5</v>
      </c>
      <c r="O12" s="264">
        <f>[7]Mei!O12+[3]Mei!X10</f>
        <v>225.6</v>
      </c>
      <c r="P12" s="260">
        <f>6.6+4</f>
        <v>10.6</v>
      </c>
      <c r="Q12" s="260"/>
      <c r="R12" s="87">
        <f t="shared" si="3"/>
        <v>236.2</v>
      </c>
      <c r="S12" s="264">
        <f>10+100</f>
        <v>110</v>
      </c>
      <c r="T12" s="260">
        <f>4+3</f>
        <v>7</v>
      </c>
      <c r="U12" s="260"/>
      <c r="V12" s="87">
        <f t="shared" si="4"/>
        <v>117</v>
      </c>
      <c r="W12" s="264">
        <v>40</v>
      </c>
      <c r="X12" s="260">
        <v>2</v>
      </c>
      <c r="Y12" s="260"/>
      <c r="Z12" s="87">
        <f t="shared" si="5"/>
        <v>42</v>
      </c>
      <c r="AA12" s="94">
        <f t="shared" si="12"/>
        <v>556.9</v>
      </c>
      <c r="AB12" s="96" t="s">
        <v>53</v>
      </c>
      <c r="AC12" s="138"/>
      <c r="AD12" s="146">
        <v>5</v>
      </c>
      <c r="AE12" s="147" t="s">
        <v>8</v>
      </c>
      <c r="AF12" s="141">
        <f t="shared" si="6"/>
        <v>523.79999999999995</v>
      </c>
      <c r="AG12" s="141">
        <f t="shared" si="6"/>
        <v>33.099999999999994</v>
      </c>
      <c r="AH12" s="141">
        <f t="shared" si="7"/>
        <v>0</v>
      </c>
      <c r="AI12" s="108"/>
      <c r="AJ12" s="148">
        <v>5</v>
      </c>
      <c r="AK12" s="149" t="s">
        <v>8</v>
      </c>
      <c r="AL12" s="144">
        <f t="shared" si="8"/>
        <v>523.79999999999995</v>
      </c>
      <c r="AM12" s="145">
        <f t="shared" si="9"/>
        <v>0.94056383551804623</v>
      </c>
      <c r="AN12" s="144">
        <f t="shared" si="13"/>
        <v>33.099999999999994</v>
      </c>
      <c r="AO12" s="145">
        <f t="shared" si="10"/>
        <v>5.9436164481953664E-2</v>
      </c>
      <c r="AP12" s="144">
        <f t="shared" si="14"/>
        <v>0</v>
      </c>
      <c r="AQ12" s="145">
        <f t="shared" si="11"/>
        <v>0</v>
      </c>
    </row>
    <row r="13" spans="1:43" x14ac:dyDescent="0.25">
      <c r="A13" s="156">
        <v>6</v>
      </c>
      <c r="B13" s="157" t="s">
        <v>9</v>
      </c>
      <c r="C13" s="259">
        <f>[7]Mei!C13+[3]Mei!J11</f>
        <v>20</v>
      </c>
      <c r="D13" s="260">
        <v>3.4</v>
      </c>
      <c r="E13" s="258"/>
      <c r="F13" s="87">
        <f t="shared" si="0"/>
        <v>23.4</v>
      </c>
      <c r="G13" s="264">
        <f>[7]Mei!G13+[7]Mei!G13</f>
        <v>27.4</v>
      </c>
      <c r="H13" s="260">
        <v>3.2</v>
      </c>
      <c r="I13" s="260"/>
      <c r="J13" s="87">
        <f t="shared" si="1"/>
        <v>30.599999999999998</v>
      </c>
      <c r="K13" s="264">
        <v>2.1</v>
      </c>
      <c r="L13" s="260">
        <v>1.8</v>
      </c>
      <c r="M13" s="260"/>
      <c r="N13" s="87">
        <f t="shared" si="2"/>
        <v>3.9000000000000004</v>
      </c>
      <c r="O13" s="264">
        <f>[7]Mei!O13+[3]Mei!X11</f>
        <v>24.2</v>
      </c>
      <c r="P13" s="260">
        <v>3.2</v>
      </c>
      <c r="Q13" s="260"/>
      <c r="R13" s="87">
        <f t="shared" si="3"/>
        <v>27.4</v>
      </c>
      <c r="S13" s="264">
        <f>10+150</f>
        <v>160</v>
      </c>
      <c r="T13" s="260">
        <f>4+2</f>
        <v>6</v>
      </c>
      <c r="U13" s="260"/>
      <c r="V13" s="87">
        <f t="shared" si="4"/>
        <v>166</v>
      </c>
      <c r="W13" s="264">
        <v>50</v>
      </c>
      <c r="X13" s="260">
        <f>2+2</f>
        <v>4</v>
      </c>
      <c r="Y13" s="260"/>
      <c r="Z13" s="87">
        <f t="shared" si="5"/>
        <v>54</v>
      </c>
      <c r="AA13" s="94">
        <f t="shared" si="12"/>
        <v>305.3</v>
      </c>
      <c r="AB13" s="96" t="s">
        <v>53</v>
      </c>
      <c r="AC13" s="138"/>
      <c r="AD13" s="146">
        <v>6</v>
      </c>
      <c r="AE13" s="147" t="s">
        <v>9</v>
      </c>
      <c r="AF13" s="141">
        <f t="shared" si="6"/>
        <v>283.7</v>
      </c>
      <c r="AG13" s="141">
        <f t="shared" si="6"/>
        <v>21.6</v>
      </c>
      <c r="AH13" s="141">
        <f t="shared" si="7"/>
        <v>0</v>
      </c>
      <c r="AI13" s="108"/>
      <c r="AJ13" s="148">
        <v>6</v>
      </c>
      <c r="AK13" s="149" t="s">
        <v>9</v>
      </c>
      <c r="AL13" s="144">
        <f t="shared" si="8"/>
        <v>283.7</v>
      </c>
      <c r="AM13" s="145">
        <f t="shared" si="9"/>
        <v>0.92924991811333113</v>
      </c>
      <c r="AN13" s="144">
        <f t="shared" si="13"/>
        <v>21.6</v>
      </c>
      <c r="AO13" s="145">
        <f t="shared" si="10"/>
        <v>7.0750081886668856E-2</v>
      </c>
      <c r="AP13" s="144">
        <f t="shared" si="14"/>
        <v>0</v>
      </c>
      <c r="AQ13" s="145">
        <f t="shared" si="11"/>
        <v>0</v>
      </c>
    </row>
    <row r="14" spans="1:43" x14ac:dyDescent="0.25">
      <c r="A14" s="156">
        <v>7</v>
      </c>
      <c r="B14" s="157" t="s">
        <v>10</v>
      </c>
      <c r="C14" s="259">
        <f>[7]Mei!C14+[3]Mei!J12</f>
        <v>120</v>
      </c>
      <c r="D14" s="260">
        <f>7.2+2</f>
        <v>9.1999999999999993</v>
      </c>
      <c r="E14" s="258"/>
      <c r="F14" s="87">
        <f t="shared" si="0"/>
        <v>129.19999999999999</v>
      </c>
      <c r="G14" s="264">
        <f>[7]Mei!G14+[7]Mei!G14</f>
        <v>25.8</v>
      </c>
      <c r="H14" s="260">
        <v>2.8</v>
      </c>
      <c r="I14" s="260"/>
      <c r="J14" s="87">
        <f t="shared" si="1"/>
        <v>28.6</v>
      </c>
      <c r="K14" s="264">
        <v>1.4</v>
      </c>
      <c r="L14" s="260">
        <v>0.9</v>
      </c>
      <c r="M14" s="260"/>
      <c r="N14" s="87">
        <f t="shared" si="2"/>
        <v>2.2999999999999998</v>
      </c>
      <c r="O14" s="264">
        <f>[7]Mei!O14+[3]Mei!X12</f>
        <v>23.9</v>
      </c>
      <c r="P14" s="260">
        <v>4.9000000000000004</v>
      </c>
      <c r="Q14" s="260"/>
      <c r="R14" s="87">
        <f t="shared" si="3"/>
        <v>28.799999999999997</v>
      </c>
      <c r="S14" s="264">
        <f>10+100</f>
        <v>110</v>
      </c>
      <c r="T14" s="260">
        <f>4+1</f>
        <v>5</v>
      </c>
      <c r="U14" s="260"/>
      <c r="V14" s="87">
        <f t="shared" si="4"/>
        <v>115</v>
      </c>
      <c r="W14" s="264">
        <v>40</v>
      </c>
      <c r="X14" s="260">
        <v>2</v>
      </c>
      <c r="Y14" s="260"/>
      <c r="Z14" s="87">
        <f t="shared" si="5"/>
        <v>42</v>
      </c>
      <c r="AA14" s="94">
        <f t="shared" si="12"/>
        <v>345.9</v>
      </c>
      <c r="AB14" s="96" t="s">
        <v>53</v>
      </c>
      <c r="AC14" s="138"/>
      <c r="AD14" s="146">
        <v>7</v>
      </c>
      <c r="AE14" s="147" t="s">
        <v>10</v>
      </c>
      <c r="AF14" s="141">
        <f t="shared" si="6"/>
        <v>321.10000000000002</v>
      </c>
      <c r="AG14" s="141">
        <f t="shared" si="6"/>
        <v>24.8</v>
      </c>
      <c r="AH14" s="141">
        <f t="shared" si="7"/>
        <v>0</v>
      </c>
      <c r="AI14" s="108"/>
      <c r="AJ14" s="148">
        <v>7</v>
      </c>
      <c r="AK14" s="149" t="s">
        <v>10</v>
      </c>
      <c r="AL14" s="144">
        <f t="shared" si="8"/>
        <v>321.10000000000002</v>
      </c>
      <c r="AM14" s="145">
        <f t="shared" si="9"/>
        <v>0.92830297773923109</v>
      </c>
      <c r="AN14" s="144">
        <f t="shared" si="13"/>
        <v>24.8</v>
      </c>
      <c r="AO14" s="145">
        <f t="shared" si="10"/>
        <v>7.1697022260769017E-2</v>
      </c>
      <c r="AP14" s="144">
        <f t="shared" si="14"/>
        <v>0</v>
      </c>
      <c r="AQ14" s="145">
        <f t="shared" si="11"/>
        <v>0</v>
      </c>
    </row>
    <row r="15" spans="1:43" x14ac:dyDescent="0.25">
      <c r="A15" s="156">
        <v>8</v>
      </c>
      <c r="B15" s="157" t="s">
        <v>11</v>
      </c>
      <c r="C15" s="259">
        <f>[7]Mei!C15+[3]Mei!J13</f>
        <v>20</v>
      </c>
      <c r="D15" s="260">
        <v>2</v>
      </c>
      <c r="E15" s="258"/>
      <c r="F15" s="87">
        <f t="shared" si="0"/>
        <v>22</v>
      </c>
      <c r="G15" s="264">
        <f>[7]Mei!G15+[7]Mei!G15</f>
        <v>25</v>
      </c>
      <c r="H15" s="260">
        <f>3+2</f>
        <v>5</v>
      </c>
      <c r="I15" s="260"/>
      <c r="J15" s="87">
        <f t="shared" si="1"/>
        <v>30</v>
      </c>
      <c r="K15" s="264">
        <v>1.2</v>
      </c>
      <c r="L15" s="260">
        <v>2.8</v>
      </c>
      <c r="M15" s="260"/>
      <c r="N15" s="87">
        <f t="shared" si="2"/>
        <v>4</v>
      </c>
      <c r="O15" s="264">
        <f>[7]Mei!O15+[3]Mei!X13</f>
        <v>224.2</v>
      </c>
      <c r="P15" s="260">
        <f>3.7+2</f>
        <v>5.7</v>
      </c>
      <c r="Q15" s="260"/>
      <c r="R15" s="87">
        <f t="shared" si="3"/>
        <v>229.89999999999998</v>
      </c>
      <c r="S15" s="264">
        <f>10+50</f>
        <v>60</v>
      </c>
      <c r="T15" s="260">
        <f>4+1</f>
        <v>5</v>
      </c>
      <c r="U15" s="260"/>
      <c r="V15" s="87">
        <f t="shared" si="4"/>
        <v>65</v>
      </c>
      <c r="W15" s="264">
        <v>40</v>
      </c>
      <c r="X15" s="260">
        <v>2</v>
      </c>
      <c r="Y15" s="260"/>
      <c r="Z15" s="87">
        <f t="shared" si="5"/>
        <v>42</v>
      </c>
      <c r="AA15" s="94">
        <f t="shared" si="12"/>
        <v>392.9</v>
      </c>
      <c r="AB15" s="96" t="s">
        <v>53</v>
      </c>
      <c r="AC15" s="138"/>
      <c r="AD15" s="146">
        <v>8</v>
      </c>
      <c r="AE15" s="147" t="s">
        <v>11</v>
      </c>
      <c r="AF15" s="141">
        <f t="shared" si="6"/>
        <v>370.4</v>
      </c>
      <c r="AG15" s="141">
        <f t="shared" si="6"/>
        <v>22.5</v>
      </c>
      <c r="AH15" s="141">
        <f t="shared" si="7"/>
        <v>0</v>
      </c>
      <c r="AI15" s="108"/>
      <c r="AJ15" s="148">
        <v>8</v>
      </c>
      <c r="AK15" s="149" t="s">
        <v>11</v>
      </c>
      <c r="AL15" s="144">
        <f t="shared" si="8"/>
        <v>370.4</v>
      </c>
      <c r="AM15" s="145">
        <f t="shared" si="9"/>
        <v>0.94273351997963861</v>
      </c>
      <c r="AN15" s="144">
        <f t="shared" si="13"/>
        <v>22.5</v>
      </c>
      <c r="AO15" s="145">
        <f t="shared" si="10"/>
        <v>5.7266480020361415E-2</v>
      </c>
      <c r="AP15" s="144">
        <f t="shared" si="14"/>
        <v>0</v>
      </c>
      <c r="AQ15" s="145">
        <f t="shared" si="11"/>
        <v>0</v>
      </c>
    </row>
    <row r="16" spans="1:43" x14ac:dyDescent="0.25">
      <c r="A16" s="156">
        <v>9</v>
      </c>
      <c r="B16" s="157" t="s">
        <v>12</v>
      </c>
      <c r="C16" s="259">
        <f>[7]Mei!C16+[3]Mei!J14</f>
        <v>120</v>
      </c>
      <c r="D16" s="260">
        <f>2.9+2</f>
        <v>4.9000000000000004</v>
      </c>
      <c r="E16" s="258"/>
      <c r="F16" s="87">
        <f t="shared" si="0"/>
        <v>124.9</v>
      </c>
      <c r="G16" s="264">
        <f>[7]Mei!G16+[7]Mei!G16</f>
        <v>27.6</v>
      </c>
      <c r="H16" s="260">
        <v>6</v>
      </c>
      <c r="I16" s="260"/>
      <c r="J16" s="87">
        <f t="shared" si="1"/>
        <v>33.6</v>
      </c>
      <c r="K16" s="264">
        <v>1.8</v>
      </c>
      <c r="L16" s="260">
        <v>1.5</v>
      </c>
      <c r="M16" s="260"/>
      <c r="N16" s="87">
        <f t="shared" si="2"/>
        <v>3.3</v>
      </c>
      <c r="O16" s="264">
        <f>[7]Mei!O16+[3]Mei!X14</f>
        <v>25.1</v>
      </c>
      <c r="P16" s="260">
        <v>4.5</v>
      </c>
      <c r="Q16" s="260"/>
      <c r="R16" s="87">
        <f t="shared" si="3"/>
        <v>29.6</v>
      </c>
      <c r="S16" s="264">
        <f>10+100</f>
        <v>110</v>
      </c>
      <c r="T16" s="260">
        <f>4+2</f>
        <v>6</v>
      </c>
      <c r="U16" s="260"/>
      <c r="V16" s="87">
        <f t="shared" si="4"/>
        <v>116</v>
      </c>
      <c r="W16" s="264">
        <v>50</v>
      </c>
      <c r="X16" s="260">
        <f>2+1</f>
        <v>3</v>
      </c>
      <c r="Y16" s="260"/>
      <c r="Z16" s="87">
        <f t="shared" si="5"/>
        <v>53</v>
      </c>
      <c r="AA16" s="94">
        <f t="shared" si="12"/>
        <v>360.4</v>
      </c>
      <c r="AB16" s="96" t="s">
        <v>53</v>
      </c>
      <c r="AC16" s="138"/>
      <c r="AD16" s="146">
        <v>9</v>
      </c>
      <c r="AE16" s="147" t="s">
        <v>12</v>
      </c>
      <c r="AF16" s="141">
        <f t="shared" si="6"/>
        <v>334.5</v>
      </c>
      <c r="AG16" s="141">
        <f t="shared" si="6"/>
        <v>25.9</v>
      </c>
      <c r="AH16" s="141">
        <f t="shared" si="7"/>
        <v>0</v>
      </c>
      <c r="AI16" s="108"/>
      <c r="AJ16" s="148">
        <v>9</v>
      </c>
      <c r="AK16" s="149" t="s">
        <v>12</v>
      </c>
      <c r="AL16" s="144">
        <f t="shared" si="8"/>
        <v>334.5</v>
      </c>
      <c r="AM16" s="145">
        <f t="shared" si="9"/>
        <v>0.92813540510543846</v>
      </c>
      <c r="AN16" s="144">
        <f t="shared" si="13"/>
        <v>25.9</v>
      </c>
      <c r="AO16" s="145">
        <f t="shared" si="10"/>
        <v>7.1864594894561595E-2</v>
      </c>
      <c r="AP16" s="144">
        <f t="shared" si="14"/>
        <v>0</v>
      </c>
      <c r="AQ16" s="145">
        <f t="shared" si="11"/>
        <v>0</v>
      </c>
    </row>
    <row r="17" spans="1:43" x14ac:dyDescent="0.25">
      <c r="A17" s="156">
        <v>10</v>
      </c>
      <c r="B17" s="157" t="s">
        <v>13</v>
      </c>
      <c r="C17" s="259">
        <f>[7]Mei!C17+[3]Mei!J15</f>
        <v>20</v>
      </c>
      <c r="D17" s="260">
        <v>1</v>
      </c>
      <c r="E17" s="258"/>
      <c r="F17" s="87">
        <f t="shared" si="0"/>
        <v>21</v>
      </c>
      <c r="G17" s="264">
        <f>[7]Mei!G17+[7]Mei!G17</f>
        <v>26.2</v>
      </c>
      <c r="H17" s="260">
        <f>3.1+1</f>
        <v>4.0999999999999996</v>
      </c>
      <c r="I17" s="260"/>
      <c r="J17" s="87">
        <f t="shared" si="1"/>
        <v>30.299999999999997</v>
      </c>
      <c r="K17" s="264">
        <v>2.5</v>
      </c>
      <c r="L17" s="260">
        <v>0.8</v>
      </c>
      <c r="M17" s="260"/>
      <c r="N17" s="87">
        <f t="shared" si="2"/>
        <v>3.3</v>
      </c>
      <c r="O17" s="264">
        <f>[7]Mei!O17+[3]Mei!X15</f>
        <v>24.3</v>
      </c>
      <c r="P17" s="260">
        <v>3.9</v>
      </c>
      <c r="Q17" s="260"/>
      <c r="R17" s="87">
        <f t="shared" si="3"/>
        <v>28.2</v>
      </c>
      <c r="S17" s="264">
        <f>10+50</f>
        <v>60</v>
      </c>
      <c r="T17" s="260">
        <f>3+2</f>
        <v>5</v>
      </c>
      <c r="U17" s="260"/>
      <c r="V17" s="87">
        <f t="shared" si="4"/>
        <v>65</v>
      </c>
      <c r="W17" s="264">
        <v>40</v>
      </c>
      <c r="X17" s="260">
        <v>1</v>
      </c>
      <c r="Y17" s="260"/>
      <c r="Z17" s="87">
        <f t="shared" si="5"/>
        <v>41</v>
      </c>
      <c r="AA17" s="94">
        <f t="shared" si="12"/>
        <v>188.8</v>
      </c>
      <c r="AB17" s="96" t="s">
        <v>53</v>
      </c>
      <c r="AC17" s="138"/>
      <c r="AD17" s="146">
        <v>10</v>
      </c>
      <c r="AE17" s="147" t="s">
        <v>13</v>
      </c>
      <c r="AF17" s="141">
        <f>(C17+G17+K17+O17+S17+W17)</f>
        <v>173</v>
      </c>
      <c r="AG17" s="141">
        <f>(D17+H17+L17+P17+T17+X17)</f>
        <v>15.799999999999999</v>
      </c>
      <c r="AH17" s="141">
        <f>(E17+I17+M17+Q17++U17+Y17)</f>
        <v>0</v>
      </c>
      <c r="AI17" s="108"/>
      <c r="AJ17" s="148">
        <v>10</v>
      </c>
      <c r="AK17" s="149" t="s">
        <v>13</v>
      </c>
      <c r="AL17" s="144">
        <f t="shared" si="8"/>
        <v>173</v>
      </c>
      <c r="AM17" s="145">
        <f t="shared" si="9"/>
        <v>0.91631355932203384</v>
      </c>
      <c r="AN17" s="144">
        <f t="shared" si="13"/>
        <v>15.799999999999999</v>
      </c>
      <c r="AO17" s="145">
        <f t="shared" si="10"/>
        <v>8.3686440677966087E-2</v>
      </c>
      <c r="AP17" s="144">
        <f t="shared" si="14"/>
        <v>0</v>
      </c>
      <c r="AQ17" s="145">
        <f t="shared" si="11"/>
        <v>0</v>
      </c>
    </row>
    <row r="18" spans="1:43" x14ac:dyDescent="0.25">
      <c r="A18" s="156">
        <v>11</v>
      </c>
      <c r="B18" s="157" t="s">
        <v>14</v>
      </c>
      <c r="C18" s="259">
        <f>[7]Mei!C18+[3]Mei!J16</f>
        <v>0</v>
      </c>
      <c r="D18" s="260"/>
      <c r="E18" s="258"/>
      <c r="F18" s="87">
        <f t="shared" si="0"/>
        <v>0</v>
      </c>
      <c r="G18" s="264">
        <f>[7]Mei!G18+[7]Mei!G18</f>
        <v>8.4</v>
      </c>
      <c r="H18" s="260">
        <v>1.1000000000000001</v>
      </c>
      <c r="I18" s="260"/>
      <c r="J18" s="87">
        <f t="shared" si="1"/>
        <v>9.5</v>
      </c>
      <c r="K18" s="264">
        <v>2.2999999999999998</v>
      </c>
      <c r="L18" s="260">
        <v>1.7</v>
      </c>
      <c r="M18" s="260"/>
      <c r="N18" s="87">
        <f t="shared" si="2"/>
        <v>4</v>
      </c>
      <c r="O18" s="264">
        <f>[7]Mei!O18+[3]Mei!X16</f>
        <v>5.0999999999999996</v>
      </c>
      <c r="P18" s="260">
        <v>2.7</v>
      </c>
      <c r="Q18" s="260"/>
      <c r="R18" s="87">
        <f t="shared" si="3"/>
        <v>7.8</v>
      </c>
      <c r="S18" s="264">
        <v>100</v>
      </c>
      <c r="T18" s="260">
        <v>2</v>
      </c>
      <c r="U18" s="260"/>
      <c r="V18" s="87">
        <f t="shared" si="4"/>
        <v>102</v>
      </c>
      <c r="W18" s="264">
        <v>10</v>
      </c>
      <c r="X18" s="260">
        <v>2</v>
      </c>
      <c r="Y18" s="260"/>
      <c r="Z18" s="87">
        <f t="shared" si="5"/>
        <v>12</v>
      </c>
      <c r="AA18" s="94">
        <f t="shared" si="12"/>
        <v>135.30000000000001</v>
      </c>
      <c r="AB18" s="96" t="s">
        <v>53</v>
      </c>
      <c r="AC18" s="138"/>
      <c r="AD18" s="146">
        <v>11</v>
      </c>
      <c r="AE18" s="147" t="s">
        <v>14</v>
      </c>
      <c r="AF18" s="141">
        <f t="shared" ref="AF18:AG38" si="15">(C18+G18+K18+O18+S18+W18)</f>
        <v>125.8</v>
      </c>
      <c r="AG18" s="141">
        <f t="shared" si="15"/>
        <v>9.5</v>
      </c>
      <c r="AH18" s="141">
        <f t="shared" ref="AH18:AH38" si="16">(E18+I18+M18+Q18++U18+Y18)</f>
        <v>0</v>
      </c>
      <c r="AI18" s="108"/>
      <c r="AJ18" s="148">
        <v>11</v>
      </c>
      <c r="AK18" s="149" t="s">
        <v>14</v>
      </c>
      <c r="AL18" s="144">
        <f t="shared" si="8"/>
        <v>125.8</v>
      </c>
      <c r="AM18" s="145">
        <f t="shared" si="9"/>
        <v>0.92978566149297848</v>
      </c>
      <c r="AN18" s="144">
        <f t="shared" si="13"/>
        <v>9.5</v>
      </c>
      <c r="AO18" s="145">
        <f t="shared" si="10"/>
        <v>7.0214338507021426E-2</v>
      </c>
      <c r="AP18" s="144">
        <f t="shared" si="14"/>
        <v>0</v>
      </c>
      <c r="AQ18" s="145">
        <f t="shared" si="11"/>
        <v>0</v>
      </c>
    </row>
    <row r="19" spans="1:43" x14ac:dyDescent="0.25">
      <c r="A19" s="156">
        <v>12</v>
      </c>
      <c r="B19" s="157" t="s">
        <v>15</v>
      </c>
      <c r="C19" s="259">
        <f>[7]Mei!C19+[3]Mei!J17</f>
        <v>0</v>
      </c>
      <c r="D19" s="260"/>
      <c r="E19" s="258"/>
      <c r="F19" s="87">
        <f t="shared" si="0"/>
        <v>0</v>
      </c>
      <c r="G19" s="264">
        <f>[7]Mei!G19+[7]Mei!G19</f>
        <v>7.6</v>
      </c>
      <c r="H19" s="260">
        <f>1.4+3</f>
        <v>4.4000000000000004</v>
      </c>
      <c r="I19" s="260"/>
      <c r="J19" s="87">
        <f t="shared" si="1"/>
        <v>12</v>
      </c>
      <c r="K19" s="264">
        <v>1.6</v>
      </c>
      <c r="L19" s="260">
        <v>2.5</v>
      </c>
      <c r="M19" s="260"/>
      <c r="N19" s="87">
        <f t="shared" si="2"/>
        <v>4.0999999999999996</v>
      </c>
      <c r="O19" s="264">
        <f>[7]Mei!O19+[3]Mei!X17</f>
        <v>3.8</v>
      </c>
      <c r="P19" s="260">
        <v>1.8</v>
      </c>
      <c r="Q19" s="260"/>
      <c r="R19" s="87">
        <f t="shared" si="3"/>
        <v>5.6</v>
      </c>
      <c r="S19" s="264"/>
      <c r="T19" s="260"/>
      <c r="U19" s="260"/>
      <c r="V19" s="87">
        <f t="shared" si="4"/>
        <v>0</v>
      </c>
      <c r="W19" s="264">
        <v>0</v>
      </c>
      <c r="X19" s="260"/>
      <c r="Y19" s="260"/>
      <c r="Z19" s="87">
        <f t="shared" si="5"/>
        <v>0</v>
      </c>
      <c r="AA19" s="94">
        <f t="shared" si="12"/>
        <v>21.700000000000003</v>
      </c>
      <c r="AB19" s="96" t="s">
        <v>53</v>
      </c>
      <c r="AC19" s="138"/>
      <c r="AD19" s="146">
        <v>12</v>
      </c>
      <c r="AE19" s="147" t="s">
        <v>15</v>
      </c>
      <c r="AF19" s="141">
        <f t="shared" si="15"/>
        <v>13</v>
      </c>
      <c r="AG19" s="141">
        <f t="shared" si="15"/>
        <v>8.7000000000000011</v>
      </c>
      <c r="AH19" s="141">
        <f t="shared" si="16"/>
        <v>0</v>
      </c>
      <c r="AI19" s="108"/>
      <c r="AJ19" s="148">
        <v>12</v>
      </c>
      <c r="AK19" s="149" t="s">
        <v>15</v>
      </c>
      <c r="AL19" s="144">
        <f t="shared" si="8"/>
        <v>13</v>
      </c>
      <c r="AM19" s="145">
        <f t="shared" si="9"/>
        <v>0.59907834101382484</v>
      </c>
      <c r="AN19" s="144">
        <f t="shared" si="13"/>
        <v>8.7000000000000011</v>
      </c>
      <c r="AO19" s="145">
        <f t="shared" si="10"/>
        <v>0.4009216589861751</v>
      </c>
      <c r="AP19" s="144">
        <f t="shared" si="14"/>
        <v>0</v>
      </c>
      <c r="AQ19" s="145">
        <f t="shared" si="11"/>
        <v>0</v>
      </c>
    </row>
    <row r="20" spans="1:43" x14ac:dyDescent="0.25">
      <c r="A20" s="156">
        <v>13</v>
      </c>
      <c r="B20" s="157" t="s">
        <v>16</v>
      </c>
      <c r="C20" s="259">
        <f>[7]Mei!C20+[3]Mei!J18</f>
        <v>20</v>
      </c>
      <c r="D20" s="260">
        <v>2.1</v>
      </c>
      <c r="E20" s="258"/>
      <c r="F20" s="87">
        <f t="shared" si="0"/>
        <v>22.1</v>
      </c>
      <c r="G20" s="264">
        <f>[7]Mei!G20+[7]Mei!G20</f>
        <v>29.4</v>
      </c>
      <c r="H20" s="260">
        <v>1</v>
      </c>
      <c r="I20" s="260"/>
      <c r="J20" s="87">
        <f t="shared" si="1"/>
        <v>30.4</v>
      </c>
      <c r="K20" s="264">
        <v>2.5</v>
      </c>
      <c r="L20" s="260">
        <v>4.2</v>
      </c>
      <c r="M20" s="260"/>
      <c r="N20" s="87">
        <f t="shared" si="2"/>
        <v>6.7</v>
      </c>
      <c r="O20" s="264">
        <f>[7]Mei!O20+[3]Mei!X18</f>
        <v>225.2</v>
      </c>
      <c r="P20" s="260">
        <f>2.5+1</f>
        <v>3.5</v>
      </c>
      <c r="Q20" s="260"/>
      <c r="R20" s="87">
        <f t="shared" si="3"/>
        <v>228.7</v>
      </c>
      <c r="S20" s="264">
        <f>10+50</f>
        <v>60</v>
      </c>
      <c r="T20" s="260">
        <f>2+1</f>
        <v>3</v>
      </c>
      <c r="U20" s="260"/>
      <c r="V20" s="87">
        <f t="shared" si="4"/>
        <v>63</v>
      </c>
      <c r="W20" s="264">
        <v>50</v>
      </c>
      <c r="X20" s="260">
        <v>2</v>
      </c>
      <c r="Y20" s="260"/>
      <c r="Z20" s="87">
        <f t="shared" si="5"/>
        <v>52</v>
      </c>
      <c r="AA20" s="94">
        <f t="shared" si="12"/>
        <v>402.9</v>
      </c>
      <c r="AB20" s="96" t="s">
        <v>53</v>
      </c>
      <c r="AC20" s="138"/>
      <c r="AD20" s="146">
        <v>13</v>
      </c>
      <c r="AE20" s="147" t="s">
        <v>16</v>
      </c>
      <c r="AF20" s="141">
        <f t="shared" si="15"/>
        <v>387.09999999999997</v>
      </c>
      <c r="AG20" s="141">
        <f t="shared" si="15"/>
        <v>15.8</v>
      </c>
      <c r="AH20" s="141">
        <f t="shared" si="16"/>
        <v>0</v>
      </c>
      <c r="AI20" s="108"/>
      <c r="AJ20" s="148">
        <v>13</v>
      </c>
      <c r="AK20" s="149" t="s">
        <v>16</v>
      </c>
      <c r="AL20" s="144">
        <f t="shared" si="8"/>
        <v>387.09999999999997</v>
      </c>
      <c r="AM20" s="145">
        <f t="shared" si="9"/>
        <v>0.96078431372549011</v>
      </c>
      <c r="AN20" s="144">
        <f t="shared" si="13"/>
        <v>15.8</v>
      </c>
      <c r="AO20" s="145">
        <f t="shared" si="10"/>
        <v>3.921568627450981E-2</v>
      </c>
      <c r="AP20" s="144">
        <f t="shared" si="14"/>
        <v>0</v>
      </c>
      <c r="AQ20" s="145">
        <f t="shared" si="11"/>
        <v>0</v>
      </c>
    </row>
    <row r="21" spans="1:43" x14ac:dyDescent="0.25">
      <c r="A21" s="156">
        <v>14</v>
      </c>
      <c r="B21" s="157" t="s">
        <v>17</v>
      </c>
      <c r="C21" s="259">
        <f>[7]Mei!C21+[3]Mei!J19</f>
        <v>120</v>
      </c>
      <c r="D21" s="260">
        <f>1.4+2</f>
        <v>3.4</v>
      </c>
      <c r="E21" s="258"/>
      <c r="F21" s="87">
        <f t="shared" si="0"/>
        <v>123.4</v>
      </c>
      <c r="G21" s="264">
        <f>[7]Mei!G21+[7]Mei!G21</f>
        <v>26.2</v>
      </c>
      <c r="H21" s="260">
        <f>2.9+1</f>
        <v>3.9</v>
      </c>
      <c r="I21" s="260"/>
      <c r="J21" s="87">
        <f t="shared" si="1"/>
        <v>30.099999999999998</v>
      </c>
      <c r="K21" s="264">
        <v>1.2</v>
      </c>
      <c r="L21" s="260">
        <v>1.8</v>
      </c>
      <c r="M21" s="260"/>
      <c r="N21" s="87">
        <f t="shared" si="2"/>
        <v>3</v>
      </c>
      <c r="O21" s="264">
        <f>[7]Mei!O21+[3]Mei!X19</f>
        <v>24.1</v>
      </c>
      <c r="P21" s="260">
        <v>4.5</v>
      </c>
      <c r="Q21" s="260"/>
      <c r="R21" s="87">
        <f t="shared" si="3"/>
        <v>28.6</v>
      </c>
      <c r="S21" s="264">
        <f>10+100</f>
        <v>110</v>
      </c>
      <c r="T21" s="260">
        <f>2+2</f>
        <v>4</v>
      </c>
      <c r="U21" s="260"/>
      <c r="V21" s="87">
        <f t="shared" si="4"/>
        <v>114</v>
      </c>
      <c r="W21" s="264">
        <v>40</v>
      </c>
      <c r="X21" s="260"/>
      <c r="Y21" s="260"/>
      <c r="Z21" s="87">
        <f t="shared" si="5"/>
        <v>40</v>
      </c>
      <c r="AA21" s="94">
        <f t="shared" si="12"/>
        <v>339.1</v>
      </c>
      <c r="AB21" s="96" t="s">
        <v>53</v>
      </c>
      <c r="AC21" s="138"/>
      <c r="AD21" s="146">
        <v>14</v>
      </c>
      <c r="AE21" s="147" t="s">
        <v>17</v>
      </c>
      <c r="AF21" s="141">
        <f t="shared" si="15"/>
        <v>321.5</v>
      </c>
      <c r="AG21" s="141">
        <f t="shared" si="15"/>
        <v>17.600000000000001</v>
      </c>
      <c r="AH21" s="141">
        <f t="shared" si="16"/>
        <v>0</v>
      </c>
      <c r="AI21" s="108"/>
      <c r="AJ21" s="148">
        <v>14</v>
      </c>
      <c r="AK21" s="149" t="s">
        <v>17</v>
      </c>
      <c r="AL21" s="144">
        <f t="shared" si="8"/>
        <v>321.5</v>
      </c>
      <c r="AM21" s="145">
        <f t="shared" si="9"/>
        <v>0.94809790622235324</v>
      </c>
      <c r="AN21" s="144">
        <f t="shared" si="13"/>
        <v>17.600000000000001</v>
      </c>
      <c r="AO21" s="145">
        <f t="shared" si="10"/>
        <v>5.1902093777646714E-2</v>
      </c>
      <c r="AP21" s="144">
        <f t="shared" si="14"/>
        <v>0</v>
      </c>
      <c r="AQ21" s="145">
        <f t="shared" si="11"/>
        <v>0</v>
      </c>
    </row>
    <row r="22" spans="1:43" x14ac:dyDescent="0.25">
      <c r="A22" s="156">
        <v>15</v>
      </c>
      <c r="B22" s="157" t="s">
        <v>18</v>
      </c>
      <c r="C22" s="259">
        <f>[7]Mei!C22+[3]Mei!J20</f>
        <v>20</v>
      </c>
      <c r="D22" s="260">
        <v>2.6</v>
      </c>
      <c r="E22" s="258"/>
      <c r="F22" s="87">
        <f t="shared" si="0"/>
        <v>22.6</v>
      </c>
      <c r="G22" s="264">
        <f>[7]Mei!G22+[7]Mei!G22</f>
        <v>26.8</v>
      </c>
      <c r="H22" s="260">
        <v>1.5</v>
      </c>
      <c r="I22" s="260"/>
      <c r="J22" s="87">
        <f t="shared" si="1"/>
        <v>28.3</v>
      </c>
      <c r="K22" s="264">
        <v>3.5</v>
      </c>
      <c r="L22" s="260">
        <v>1.2</v>
      </c>
      <c r="M22" s="260"/>
      <c r="N22" s="87">
        <f t="shared" si="2"/>
        <v>4.7</v>
      </c>
      <c r="O22" s="264">
        <f>[7]Mei!O22+[3]Mei!X20</f>
        <v>224.3</v>
      </c>
      <c r="P22" s="260">
        <f>1.8+2</f>
        <v>3.8</v>
      </c>
      <c r="Q22" s="260"/>
      <c r="R22" s="87">
        <f t="shared" si="3"/>
        <v>228.10000000000002</v>
      </c>
      <c r="S22" s="264">
        <v>10</v>
      </c>
      <c r="T22" s="260">
        <v>2</v>
      </c>
      <c r="U22" s="260"/>
      <c r="V22" s="87">
        <f t="shared" si="4"/>
        <v>12</v>
      </c>
      <c r="W22" s="264">
        <v>40</v>
      </c>
      <c r="X22" s="260"/>
      <c r="Y22" s="260"/>
      <c r="Z22" s="87">
        <f t="shared" si="5"/>
        <v>40</v>
      </c>
      <c r="AA22" s="94">
        <f t="shared" si="12"/>
        <v>335.70000000000005</v>
      </c>
      <c r="AB22" s="96" t="s">
        <v>53</v>
      </c>
      <c r="AC22" s="138"/>
      <c r="AD22" s="146">
        <v>15</v>
      </c>
      <c r="AE22" s="147" t="s">
        <v>18</v>
      </c>
      <c r="AF22" s="141">
        <f t="shared" si="15"/>
        <v>324.60000000000002</v>
      </c>
      <c r="AG22" s="141">
        <f t="shared" si="15"/>
        <v>11.1</v>
      </c>
      <c r="AH22" s="141">
        <f t="shared" si="16"/>
        <v>0</v>
      </c>
      <c r="AI22" s="108"/>
      <c r="AJ22" s="148">
        <v>15</v>
      </c>
      <c r="AK22" s="149" t="s">
        <v>18</v>
      </c>
      <c r="AL22" s="144">
        <f t="shared" si="8"/>
        <v>324.60000000000002</v>
      </c>
      <c r="AM22" s="145">
        <f t="shared" si="9"/>
        <v>0.96693476318141192</v>
      </c>
      <c r="AN22" s="144">
        <f t="shared" si="13"/>
        <v>11.1</v>
      </c>
      <c r="AO22" s="145">
        <f t="shared" si="10"/>
        <v>3.3065236818588022E-2</v>
      </c>
      <c r="AP22" s="144">
        <f t="shared" si="14"/>
        <v>0</v>
      </c>
      <c r="AQ22" s="145">
        <f t="shared" si="11"/>
        <v>0</v>
      </c>
    </row>
    <row r="23" spans="1:43" x14ac:dyDescent="0.25">
      <c r="A23" s="156">
        <v>16</v>
      </c>
      <c r="B23" s="157" t="s">
        <v>19</v>
      </c>
      <c r="C23" s="259">
        <f>[7]Mei!C23+[3]Mei!J21</f>
        <v>120</v>
      </c>
      <c r="D23" s="260">
        <f>1.4+1</f>
        <v>2.4</v>
      </c>
      <c r="E23" s="258"/>
      <c r="F23" s="87">
        <f t="shared" si="0"/>
        <v>122.4</v>
      </c>
      <c r="G23" s="264">
        <f>[7]Mei!G23+[7]Mei!G23</f>
        <v>26.8</v>
      </c>
      <c r="H23" s="260">
        <f>1.5+3</f>
        <v>4.5</v>
      </c>
      <c r="I23" s="260"/>
      <c r="J23" s="87">
        <f t="shared" si="1"/>
        <v>31.3</v>
      </c>
      <c r="K23" s="264">
        <v>1.7</v>
      </c>
      <c r="L23" s="260">
        <v>2.4</v>
      </c>
      <c r="M23" s="260"/>
      <c r="N23" s="87">
        <f t="shared" si="2"/>
        <v>4.0999999999999996</v>
      </c>
      <c r="O23" s="264">
        <f>[7]Mei!O23+[3]Mei!X21</f>
        <v>25.6</v>
      </c>
      <c r="P23" s="260">
        <v>5.2</v>
      </c>
      <c r="Q23" s="260"/>
      <c r="R23" s="87">
        <f t="shared" si="3"/>
        <v>30.8</v>
      </c>
      <c r="S23" s="264">
        <f>10+150</f>
        <v>160</v>
      </c>
      <c r="T23" s="260">
        <f>2+2</f>
        <v>4</v>
      </c>
      <c r="U23" s="260"/>
      <c r="V23" s="87">
        <f t="shared" si="4"/>
        <v>164</v>
      </c>
      <c r="W23" s="264">
        <v>50</v>
      </c>
      <c r="X23" s="260">
        <v>1</v>
      </c>
      <c r="Y23" s="260"/>
      <c r="Z23" s="87">
        <f t="shared" si="5"/>
        <v>51</v>
      </c>
      <c r="AA23" s="94">
        <f t="shared" si="12"/>
        <v>403.6</v>
      </c>
      <c r="AB23" s="96" t="s">
        <v>53</v>
      </c>
      <c r="AC23" s="138"/>
      <c r="AD23" s="146">
        <v>16</v>
      </c>
      <c r="AE23" s="147" t="s">
        <v>19</v>
      </c>
      <c r="AF23" s="141">
        <f t="shared" si="15"/>
        <v>384.1</v>
      </c>
      <c r="AG23" s="141">
        <f t="shared" si="15"/>
        <v>19.5</v>
      </c>
      <c r="AH23" s="141">
        <f t="shared" si="16"/>
        <v>0</v>
      </c>
      <c r="AI23" s="108"/>
      <c r="AJ23" s="148">
        <v>16</v>
      </c>
      <c r="AK23" s="149" t="s">
        <v>19</v>
      </c>
      <c r="AL23" s="144">
        <f t="shared" si="8"/>
        <v>384.1</v>
      </c>
      <c r="AM23" s="145">
        <f t="shared" si="9"/>
        <v>0.95168483647175417</v>
      </c>
      <c r="AN23" s="144">
        <f t="shared" si="13"/>
        <v>19.5</v>
      </c>
      <c r="AO23" s="145">
        <f t="shared" si="10"/>
        <v>4.8315163528245789E-2</v>
      </c>
      <c r="AP23" s="144">
        <f t="shared" si="14"/>
        <v>0</v>
      </c>
      <c r="AQ23" s="145">
        <f t="shared" si="11"/>
        <v>0</v>
      </c>
    </row>
    <row r="24" spans="1:43" x14ac:dyDescent="0.25">
      <c r="A24" s="156">
        <v>17</v>
      </c>
      <c r="B24" s="157" t="s">
        <v>20</v>
      </c>
      <c r="C24" s="259">
        <f>[7]Mei!C24+[3]Mei!J22</f>
        <v>20</v>
      </c>
      <c r="D24" s="260"/>
      <c r="E24" s="258"/>
      <c r="F24" s="87">
        <f t="shared" si="0"/>
        <v>20</v>
      </c>
      <c r="G24" s="264">
        <f>[7]Mei!G24+[7]Mei!G24</f>
        <v>25</v>
      </c>
      <c r="H24" s="260">
        <v>2.1</v>
      </c>
      <c r="I24" s="260"/>
      <c r="J24" s="87">
        <f t="shared" si="1"/>
        <v>27.1</v>
      </c>
      <c r="K24" s="264">
        <v>2.2999999999999998</v>
      </c>
      <c r="L24" s="260">
        <v>2.5</v>
      </c>
      <c r="M24" s="260"/>
      <c r="N24" s="87">
        <f t="shared" si="2"/>
        <v>4.8</v>
      </c>
      <c r="O24" s="264">
        <f>[7]Mei!O24+[3]Mei!X22</f>
        <v>223.8</v>
      </c>
      <c r="P24" s="260">
        <f>1.8+1</f>
        <v>2.8</v>
      </c>
      <c r="Q24" s="260"/>
      <c r="R24" s="87">
        <f t="shared" si="3"/>
        <v>226.60000000000002</v>
      </c>
      <c r="S24" s="264">
        <v>10</v>
      </c>
      <c r="T24" s="260">
        <v>2</v>
      </c>
      <c r="U24" s="260"/>
      <c r="V24" s="87">
        <f t="shared" si="4"/>
        <v>12</v>
      </c>
      <c r="W24" s="264">
        <v>40</v>
      </c>
      <c r="X24" s="260"/>
      <c r="Y24" s="260"/>
      <c r="Z24" s="87">
        <f t="shared" si="5"/>
        <v>40</v>
      </c>
      <c r="AA24" s="94">
        <f t="shared" si="12"/>
        <v>330.5</v>
      </c>
      <c r="AB24" s="96" t="s">
        <v>53</v>
      </c>
      <c r="AC24" s="138"/>
      <c r="AD24" s="146">
        <v>17</v>
      </c>
      <c r="AE24" s="147" t="s">
        <v>20</v>
      </c>
      <c r="AF24" s="141">
        <f t="shared" si="15"/>
        <v>321.10000000000002</v>
      </c>
      <c r="AG24" s="141">
        <f t="shared" si="15"/>
        <v>9.3999999999999986</v>
      </c>
      <c r="AH24" s="141">
        <f t="shared" si="16"/>
        <v>0</v>
      </c>
      <c r="AI24" s="108"/>
      <c r="AJ24" s="148">
        <v>17</v>
      </c>
      <c r="AK24" s="149" t="s">
        <v>20</v>
      </c>
      <c r="AL24" s="144">
        <f t="shared" si="8"/>
        <v>321.10000000000002</v>
      </c>
      <c r="AM24" s="145">
        <f t="shared" si="9"/>
        <v>0.97155824508320732</v>
      </c>
      <c r="AN24" s="144">
        <f t="shared" si="13"/>
        <v>9.3999999999999986</v>
      </c>
      <c r="AO24" s="145">
        <f t="shared" si="10"/>
        <v>2.8441754916792735E-2</v>
      </c>
      <c r="AP24" s="144">
        <f t="shared" si="14"/>
        <v>0</v>
      </c>
      <c r="AQ24" s="145">
        <f t="shared" si="11"/>
        <v>0</v>
      </c>
    </row>
    <row r="25" spans="1:43" x14ac:dyDescent="0.25">
      <c r="A25" s="156">
        <v>18</v>
      </c>
      <c r="B25" s="157" t="s">
        <v>21</v>
      </c>
      <c r="C25" s="259">
        <f>[7]Mei!C25+[3]Mei!J23</f>
        <v>0</v>
      </c>
      <c r="D25" s="260"/>
      <c r="E25" s="258"/>
      <c r="F25" s="87">
        <f t="shared" si="0"/>
        <v>0</v>
      </c>
      <c r="G25" s="264">
        <f>[7]Mei!G25+[7]Mei!G25</f>
        <v>4.8</v>
      </c>
      <c r="H25" s="260">
        <v>2.5</v>
      </c>
      <c r="I25" s="260"/>
      <c r="J25" s="87">
        <f t="shared" si="1"/>
        <v>7.3</v>
      </c>
      <c r="K25" s="264">
        <v>1.4</v>
      </c>
      <c r="L25" s="260">
        <v>0.8</v>
      </c>
      <c r="M25" s="260"/>
      <c r="N25" s="87">
        <f t="shared" si="2"/>
        <v>2.2000000000000002</v>
      </c>
      <c r="O25" s="264">
        <f>[7]Mei!O25+[3]Mei!X23</f>
        <v>25.5</v>
      </c>
      <c r="P25" s="260">
        <v>2.9</v>
      </c>
      <c r="Q25" s="260"/>
      <c r="R25" s="87">
        <f t="shared" si="3"/>
        <v>28.4</v>
      </c>
      <c r="S25" s="264"/>
      <c r="T25" s="260"/>
      <c r="U25" s="260"/>
      <c r="V25" s="87">
        <f t="shared" si="4"/>
        <v>0</v>
      </c>
      <c r="W25" s="264">
        <v>10</v>
      </c>
      <c r="X25" s="260">
        <v>1</v>
      </c>
      <c r="Y25" s="260"/>
      <c r="Z25" s="87">
        <f t="shared" si="5"/>
        <v>11</v>
      </c>
      <c r="AA25" s="94">
        <f t="shared" si="12"/>
        <v>48.9</v>
      </c>
      <c r="AB25" s="96" t="s">
        <v>53</v>
      </c>
      <c r="AC25" s="138"/>
      <c r="AD25" s="146">
        <v>18</v>
      </c>
      <c r="AE25" s="147" t="s">
        <v>21</v>
      </c>
      <c r="AF25" s="141">
        <f t="shared" si="15"/>
        <v>41.7</v>
      </c>
      <c r="AG25" s="141">
        <f t="shared" si="15"/>
        <v>7.1999999999999993</v>
      </c>
      <c r="AH25" s="141">
        <f t="shared" si="16"/>
        <v>0</v>
      </c>
      <c r="AI25" s="108"/>
      <c r="AJ25" s="148">
        <v>18</v>
      </c>
      <c r="AK25" s="149" t="s">
        <v>21</v>
      </c>
      <c r="AL25" s="144">
        <f t="shared" si="8"/>
        <v>41.7</v>
      </c>
      <c r="AM25" s="145">
        <f t="shared" si="9"/>
        <v>0.85276073619631909</v>
      </c>
      <c r="AN25" s="144">
        <f t="shared" si="13"/>
        <v>7.1999999999999993</v>
      </c>
      <c r="AO25" s="145">
        <f t="shared" si="10"/>
        <v>0.14723926380368096</v>
      </c>
      <c r="AP25" s="144">
        <f t="shared" si="14"/>
        <v>0</v>
      </c>
      <c r="AQ25" s="145">
        <f t="shared" si="11"/>
        <v>0</v>
      </c>
    </row>
    <row r="26" spans="1:43" x14ac:dyDescent="0.25">
      <c r="A26" s="156">
        <v>19</v>
      </c>
      <c r="B26" s="157" t="s">
        <v>22</v>
      </c>
      <c r="C26" s="259">
        <f>[7]Mei!C26+[3]Mei!J24</f>
        <v>120</v>
      </c>
      <c r="D26" s="260">
        <f>1.4+1</f>
        <v>2.4</v>
      </c>
      <c r="E26" s="258"/>
      <c r="F26" s="87">
        <f t="shared" si="0"/>
        <v>122.4</v>
      </c>
      <c r="G26" s="264">
        <f>[7]Mei!G26+[7]Mei!G26</f>
        <v>26.2</v>
      </c>
      <c r="H26" s="260">
        <f>1.4+1</f>
        <v>2.4</v>
      </c>
      <c r="I26" s="260"/>
      <c r="J26" s="87">
        <f t="shared" si="1"/>
        <v>28.599999999999998</v>
      </c>
      <c r="K26" s="264">
        <v>2.6</v>
      </c>
      <c r="L26" s="260">
        <v>1.2</v>
      </c>
      <c r="M26" s="260"/>
      <c r="N26" s="87">
        <f t="shared" si="2"/>
        <v>3.8</v>
      </c>
      <c r="O26" s="264">
        <f>[7]Mei!O26+[3]Mei!X24</f>
        <v>224.2</v>
      </c>
      <c r="P26" s="260">
        <f>1.8+2</f>
        <v>3.8</v>
      </c>
      <c r="Q26" s="260"/>
      <c r="R26" s="87">
        <f t="shared" si="3"/>
        <v>228</v>
      </c>
      <c r="S26" s="264">
        <f>10+150</f>
        <v>160</v>
      </c>
      <c r="T26" s="260">
        <v>4</v>
      </c>
      <c r="U26" s="260"/>
      <c r="V26" s="87">
        <f t="shared" si="4"/>
        <v>164</v>
      </c>
      <c r="W26" s="264">
        <v>40</v>
      </c>
      <c r="X26" s="260"/>
      <c r="Y26" s="260"/>
      <c r="Z26" s="87">
        <f t="shared" si="5"/>
        <v>40</v>
      </c>
      <c r="AA26" s="94">
        <f t="shared" si="12"/>
        <v>586.79999999999995</v>
      </c>
      <c r="AB26" s="96" t="s">
        <v>53</v>
      </c>
      <c r="AC26" s="138"/>
      <c r="AD26" s="146">
        <v>19</v>
      </c>
      <c r="AE26" s="147" t="s">
        <v>22</v>
      </c>
      <c r="AF26" s="141">
        <f t="shared" si="15"/>
        <v>573</v>
      </c>
      <c r="AG26" s="141">
        <f t="shared" si="15"/>
        <v>13.8</v>
      </c>
      <c r="AH26" s="141">
        <f t="shared" si="16"/>
        <v>0</v>
      </c>
      <c r="AI26" s="108"/>
      <c r="AJ26" s="148">
        <v>19</v>
      </c>
      <c r="AK26" s="149" t="s">
        <v>22</v>
      </c>
      <c r="AL26" s="144">
        <f t="shared" si="8"/>
        <v>573</v>
      </c>
      <c r="AM26" s="145">
        <f t="shared" si="9"/>
        <v>0.97648261758691213</v>
      </c>
      <c r="AN26" s="144">
        <f t="shared" si="13"/>
        <v>13.8</v>
      </c>
      <c r="AO26" s="145">
        <f t="shared" si="10"/>
        <v>2.3517382413087939E-2</v>
      </c>
      <c r="AP26" s="144">
        <f t="shared" si="14"/>
        <v>0</v>
      </c>
      <c r="AQ26" s="145">
        <f t="shared" si="11"/>
        <v>0</v>
      </c>
    </row>
    <row r="27" spans="1:43" x14ac:dyDescent="0.25">
      <c r="A27" s="156">
        <v>20</v>
      </c>
      <c r="B27" s="157" t="s">
        <v>23</v>
      </c>
      <c r="C27" s="259">
        <f>[7]Mei!C27+[3]Mei!J25</f>
        <v>20</v>
      </c>
      <c r="D27" s="260">
        <v>2.1</v>
      </c>
      <c r="E27" s="258"/>
      <c r="F27" s="87">
        <f t="shared" si="0"/>
        <v>22.1</v>
      </c>
      <c r="G27" s="264">
        <f>[7]Mei!G27+[7]Mei!G27</f>
        <v>26</v>
      </c>
      <c r="H27" s="260">
        <v>5.2</v>
      </c>
      <c r="I27" s="260"/>
      <c r="J27" s="87">
        <f t="shared" si="1"/>
        <v>31.2</v>
      </c>
      <c r="K27" s="264">
        <v>3.2</v>
      </c>
      <c r="L27" s="260">
        <v>3.1</v>
      </c>
      <c r="M27" s="260"/>
      <c r="N27" s="87">
        <f t="shared" si="2"/>
        <v>6.3000000000000007</v>
      </c>
      <c r="O27" s="264">
        <f>[7]Mei!O27+[3]Mei!X25</f>
        <v>23.1</v>
      </c>
      <c r="P27" s="260">
        <v>3.2</v>
      </c>
      <c r="Q27" s="260"/>
      <c r="R27" s="87">
        <f t="shared" si="3"/>
        <v>26.3</v>
      </c>
      <c r="S27" s="264">
        <v>10</v>
      </c>
      <c r="T27" s="260"/>
      <c r="U27" s="260"/>
      <c r="V27" s="87">
        <f t="shared" si="4"/>
        <v>10</v>
      </c>
      <c r="W27" s="264">
        <v>50</v>
      </c>
      <c r="X27" s="260">
        <v>1</v>
      </c>
      <c r="Y27" s="260"/>
      <c r="Z27" s="87">
        <f t="shared" si="5"/>
        <v>51</v>
      </c>
      <c r="AA27" s="94">
        <f t="shared" si="12"/>
        <v>146.89999999999998</v>
      </c>
      <c r="AB27" s="96" t="s">
        <v>53</v>
      </c>
      <c r="AC27" s="138"/>
      <c r="AD27" s="146">
        <v>20</v>
      </c>
      <c r="AE27" s="147" t="s">
        <v>23</v>
      </c>
      <c r="AF27" s="141">
        <f t="shared" si="15"/>
        <v>132.30000000000001</v>
      </c>
      <c r="AG27" s="141">
        <f t="shared" si="15"/>
        <v>14.600000000000001</v>
      </c>
      <c r="AH27" s="141">
        <f t="shared" si="16"/>
        <v>0</v>
      </c>
      <c r="AI27" s="108"/>
      <c r="AJ27" s="148">
        <v>20</v>
      </c>
      <c r="AK27" s="149" t="s">
        <v>23</v>
      </c>
      <c r="AL27" s="144">
        <f t="shared" si="8"/>
        <v>132.30000000000001</v>
      </c>
      <c r="AM27" s="145">
        <f t="shared" si="9"/>
        <v>0.90061266167460874</v>
      </c>
      <c r="AN27" s="144">
        <f t="shared" si="13"/>
        <v>14.600000000000001</v>
      </c>
      <c r="AO27" s="145">
        <f t="shared" si="10"/>
        <v>9.9387338325391442E-2</v>
      </c>
      <c r="AP27" s="144">
        <f t="shared" si="14"/>
        <v>0</v>
      </c>
      <c r="AQ27" s="145">
        <f t="shared" si="11"/>
        <v>0</v>
      </c>
    </row>
    <row r="28" spans="1:43" x14ac:dyDescent="0.25">
      <c r="A28" s="156">
        <v>21</v>
      </c>
      <c r="B28" s="157" t="s">
        <v>24</v>
      </c>
      <c r="C28" s="259">
        <f>[7]Mei!C28+[3]Mei!J26</f>
        <v>120</v>
      </c>
      <c r="D28" s="260">
        <f>2+1</f>
        <v>3</v>
      </c>
      <c r="E28" s="258"/>
      <c r="F28" s="87">
        <f t="shared" si="0"/>
        <v>123</v>
      </c>
      <c r="G28" s="264">
        <f>[7]Mei!G28+[7]Mei!G28</f>
        <v>25.8</v>
      </c>
      <c r="H28" s="260">
        <f>0.8+2</f>
        <v>2.8</v>
      </c>
      <c r="I28" s="260"/>
      <c r="J28" s="87">
        <f t="shared" si="1"/>
        <v>28.6</v>
      </c>
      <c r="K28" s="264">
        <v>1.7</v>
      </c>
      <c r="L28" s="260">
        <v>2.8</v>
      </c>
      <c r="M28" s="260"/>
      <c r="N28" s="87">
        <f t="shared" si="2"/>
        <v>4.5</v>
      </c>
      <c r="O28" s="264">
        <f>[7]Mei!O28+[3]Mei!X26</f>
        <v>224.2</v>
      </c>
      <c r="P28" s="260">
        <f>2.9+3</f>
        <v>5.9</v>
      </c>
      <c r="Q28" s="260"/>
      <c r="R28" s="87">
        <f t="shared" si="3"/>
        <v>230.1</v>
      </c>
      <c r="S28" s="264">
        <f>10+50</f>
        <v>60</v>
      </c>
      <c r="T28" s="260">
        <v>1</v>
      </c>
      <c r="U28" s="260"/>
      <c r="V28" s="87">
        <f t="shared" si="4"/>
        <v>61</v>
      </c>
      <c r="W28" s="264">
        <v>40</v>
      </c>
      <c r="X28" s="260"/>
      <c r="Y28" s="260"/>
      <c r="Z28" s="87">
        <f t="shared" si="5"/>
        <v>40</v>
      </c>
      <c r="AA28" s="94">
        <f t="shared" si="12"/>
        <v>487.2</v>
      </c>
      <c r="AB28" s="96" t="s">
        <v>53</v>
      </c>
      <c r="AC28" s="138"/>
      <c r="AD28" s="146">
        <v>21</v>
      </c>
      <c r="AE28" s="147" t="s">
        <v>24</v>
      </c>
      <c r="AF28" s="141">
        <f t="shared" si="15"/>
        <v>471.7</v>
      </c>
      <c r="AG28" s="141">
        <f t="shared" si="15"/>
        <v>15.5</v>
      </c>
      <c r="AH28" s="141">
        <f t="shared" si="16"/>
        <v>0</v>
      </c>
      <c r="AI28" s="108"/>
      <c r="AJ28" s="148">
        <v>21</v>
      </c>
      <c r="AK28" s="149" t="s">
        <v>24</v>
      </c>
      <c r="AL28" s="144">
        <f t="shared" si="8"/>
        <v>471.7</v>
      </c>
      <c r="AM28" s="145">
        <f t="shared" si="9"/>
        <v>0.96818555008210183</v>
      </c>
      <c r="AN28" s="144">
        <f t="shared" si="13"/>
        <v>15.5</v>
      </c>
      <c r="AO28" s="145">
        <f t="shared" si="10"/>
        <v>3.1814449917898197E-2</v>
      </c>
      <c r="AP28" s="144">
        <f t="shared" si="14"/>
        <v>0</v>
      </c>
      <c r="AQ28" s="145">
        <f t="shared" si="11"/>
        <v>0</v>
      </c>
    </row>
    <row r="29" spans="1:43" x14ac:dyDescent="0.25">
      <c r="A29" s="156">
        <v>22</v>
      </c>
      <c r="B29" s="157" t="s">
        <v>25</v>
      </c>
      <c r="C29" s="259">
        <f>[7]Mei!C29+[3]Mei!J27</f>
        <v>20</v>
      </c>
      <c r="D29" s="260">
        <v>2.4</v>
      </c>
      <c r="E29" s="258"/>
      <c r="F29" s="87">
        <f t="shared" si="0"/>
        <v>22.4</v>
      </c>
      <c r="G29" s="264">
        <f>[7]Mei!G29+[7]Mei!G29</f>
        <v>26.8</v>
      </c>
      <c r="H29" s="260">
        <v>1.9</v>
      </c>
      <c r="I29" s="260"/>
      <c r="J29" s="87">
        <f t="shared" si="1"/>
        <v>28.7</v>
      </c>
      <c r="K29" s="264">
        <v>1.8</v>
      </c>
      <c r="L29" s="260">
        <v>1.5</v>
      </c>
      <c r="M29" s="260"/>
      <c r="N29" s="87">
        <f t="shared" si="2"/>
        <v>3.3</v>
      </c>
      <c r="O29" s="264">
        <f>[7]Mei!O29+[3]Mei!X27</f>
        <v>23.7</v>
      </c>
      <c r="P29" s="260">
        <v>2.5</v>
      </c>
      <c r="Q29" s="260"/>
      <c r="R29" s="87">
        <f t="shared" si="3"/>
        <v>26.2</v>
      </c>
      <c r="S29" s="264">
        <f>10+100</f>
        <v>110</v>
      </c>
      <c r="T29" s="260">
        <v>2</v>
      </c>
      <c r="U29" s="260"/>
      <c r="V29" s="87">
        <f t="shared" si="4"/>
        <v>112</v>
      </c>
      <c r="W29" s="264">
        <v>50</v>
      </c>
      <c r="X29" s="260">
        <v>1</v>
      </c>
      <c r="Y29" s="260"/>
      <c r="Z29" s="87">
        <f t="shared" si="5"/>
        <v>51</v>
      </c>
      <c r="AA29" s="94">
        <f t="shared" si="12"/>
        <v>243.6</v>
      </c>
      <c r="AB29" s="96" t="s">
        <v>53</v>
      </c>
      <c r="AC29" s="138"/>
      <c r="AD29" s="146">
        <v>22</v>
      </c>
      <c r="AE29" s="147" t="s">
        <v>25</v>
      </c>
      <c r="AF29" s="141">
        <f t="shared" si="15"/>
        <v>232.3</v>
      </c>
      <c r="AG29" s="141">
        <f t="shared" si="15"/>
        <v>11.3</v>
      </c>
      <c r="AH29" s="141">
        <f t="shared" si="16"/>
        <v>0</v>
      </c>
      <c r="AI29" s="108"/>
      <c r="AJ29" s="148">
        <v>22</v>
      </c>
      <c r="AK29" s="149" t="s">
        <v>25</v>
      </c>
      <c r="AL29" s="144">
        <f t="shared" si="8"/>
        <v>232.3</v>
      </c>
      <c r="AM29" s="145">
        <f t="shared" si="9"/>
        <v>0.95361247947454852</v>
      </c>
      <c r="AN29" s="144">
        <f t="shared" si="13"/>
        <v>11.3</v>
      </c>
      <c r="AO29" s="145">
        <f t="shared" si="10"/>
        <v>4.6387520525451566E-2</v>
      </c>
      <c r="AP29" s="144">
        <f t="shared" si="14"/>
        <v>0</v>
      </c>
      <c r="AQ29" s="145">
        <f t="shared" si="11"/>
        <v>0</v>
      </c>
    </row>
    <row r="30" spans="1:43" x14ac:dyDescent="0.25">
      <c r="A30" s="156">
        <v>23</v>
      </c>
      <c r="B30" s="157" t="s">
        <v>26</v>
      </c>
      <c r="C30" s="259">
        <f>[7]Mei!C30+[3]Mei!J28</f>
        <v>120</v>
      </c>
      <c r="D30" s="260">
        <f>1.5+1</f>
        <v>2.5</v>
      </c>
      <c r="E30" s="258"/>
      <c r="F30" s="87">
        <f t="shared" si="0"/>
        <v>122.5</v>
      </c>
      <c r="G30" s="264">
        <f>[7]Mei!G30+[7]Mei!G30</f>
        <v>25.4</v>
      </c>
      <c r="H30" s="260">
        <f>2.1+1</f>
        <v>3.1</v>
      </c>
      <c r="I30" s="260"/>
      <c r="J30" s="87">
        <f t="shared" si="1"/>
        <v>28.5</v>
      </c>
      <c r="K30" s="264">
        <v>2.5</v>
      </c>
      <c r="L30" s="260">
        <v>1.7</v>
      </c>
      <c r="M30" s="260"/>
      <c r="N30" s="87">
        <f t="shared" si="2"/>
        <v>4.2</v>
      </c>
      <c r="O30" s="264">
        <f>[7]Mei!O30+[3]Mei!X28</f>
        <v>25.6</v>
      </c>
      <c r="P30" s="260">
        <v>3.4</v>
      </c>
      <c r="Q30" s="260"/>
      <c r="R30" s="87">
        <f t="shared" si="3"/>
        <v>29</v>
      </c>
      <c r="S30" s="264">
        <f>10+50</f>
        <v>60</v>
      </c>
      <c r="T30" s="260">
        <v>2</v>
      </c>
      <c r="U30" s="260"/>
      <c r="V30" s="87">
        <f t="shared" si="4"/>
        <v>62</v>
      </c>
      <c r="W30" s="264">
        <v>40</v>
      </c>
      <c r="X30" s="260"/>
      <c r="Y30" s="260"/>
      <c r="Z30" s="87">
        <f t="shared" si="5"/>
        <v>40</v>
      </c>
      <c r="AA30" s="94">
        <f t="shared" si="12"/>
        <v>286.2</v>
      </c>
      <c r="AB30" s="96" t="s">
        <v>53</v>
      </c>
      <c r="AC30" s="138"/>
      <c r="AD30" s="146">
        <v>23</v>
      </c>
      <c r="AE30" s="147" t="s">
        <v>26</v>
      </c>
      <c r="AF30" s="141">
        <f t="shared" si="15"/>
        <v>273.5</v>
      </c>
      <c r="AG30" s="141">
        <f t="shared" si="15"/>
        <v>12.7</v>
      </c>
      <c r="AH30" s="141">
        <f t="shared" si="16"/>
        <v>0</v>
      </c>
      <c r="AI30" s="108"/>
      <c r="AJ30" s="148">
        <v>23</v>
      </c>
      <c r="AK30" s="149" t="s">
        <v>26</v>
      </c>
      <c r="AL30" s="144">
        <f t="shared" si="8"/>
        <v>273.5</v>
      </c>
      <c r="AM30" s="145">
        <f t="shared" si="9"/>
        <v>0.95562543675751221</v>
      </c>
      <c r="AN30" s="144">
        <f t="shared" si="13"/>
        <v>12.7</v>
      </c>
      <c r="AO30" s="145">
        <f t="shared" si="10"/>
        <v>4.4374563242487772E-2</v>
      </c>
      <c r="AP30" s="144">
        <f t="shared" si="14"/>
        <v>0</v>
      </c>
      <c r="AQ30" s="145">
        <f t="shared" si="11"/>
        <v>0</v>
      </c>
    </row>
    <row r="31" spans="1:43" x14ac:dyDescent="0.25">
      <c r="A31" s="156">
        <v>24</v>
      </c>
      <c r="B31" s="157" t="s">
        <v>27</v>
      </c>
      <c r="C31" s="259">
        <f>[7]Mei!C31+[3]Mei!J29</f>
        <v>20</v>
      </c>
      <c r="D31" s="260"/>
      <c r="E31" s="258"/>
      <c r="F31" s="87">
        <f t="shared" si="0"/>
        <v>20</v>
      </c>
      <c r="G31" s="264">
        <f>[7]Mei!G31+[7]Mei!G31</f>
        <v>25.8</v>
      </c>
      <c r="H31" s="260">
        <v>3.3</v>
      </c>
      <c r="I31" s="260"/>
      <c r="J31" s="87">
        <f t="shared" si="1"/>
        <v>29.1</v>
      </c>
      <c r="K31" s="264">
        <v>2.4</v>
      </c>
      <c r="L31" s="260">
        <v>2.5</v>
      </c>
      <c r="M31" s="260"/>
      <c r="N31" s="87">
        <f t="shared" si="2"/>
        <v>4.9000000000000004</v>
      </c>
      <c r="O31" s="264">
        <f>[7]Mei!O31+[3]Mei!X29</f>
        <v>224.5</v>
      </c>
      <c r="P31" s="260">
        <f>2+1</f>
        <v>3</v>
      </c>
      <c r="Q31" s="260"/>
      <c r="R31" s="87">
        <f t="shared" si="3"/>
        <v>227.5</v>
      </c>
      <c r="S31" s="264">
        <f>10+100</f>
        <v>110</v>
      </c>
      <c r="T31" s="260">
        <v>1</v>
      </c>
      <c r="U31" s="260"/>
      <c r="V31" s="87">
        <f t="shared" si="4"/>
        <v>111</v>
      </c>
      <c r="W31" s="264">
        <v>40</v>
      </c>
      <c r="X31" s="260"/>
      <c r="Y31" s="260"/>
      <c r="Z31" s="87">
        <f t="shared" si="5"/>
        <v>40</v>
      </c>
      <c r="AA31" s="94">
        <f t="shared" si="12"/>
        <v>432.5</v>
      </c>
      <c r="AB31" s="96" t="s">
        <v>53</v>
      </c>
      <c r="AC31" s="138"/>
      <c r="AD31" s="146">
        <v>24</v>
      </c>
      <c r="AE31" s="147" t="s">
        <v>27</v>
      </c>
      <c r="AF31" s="141">
        <f t="shared" si="15"/>
        <v>422.7</v>
      </c>
      <c r="AG31" s="141">
        <f t="shared" si="15"/>
        <v>9.8000000000000007</v>
      </c>
      <c r="AH31" s="141">
        <f t="shared" si="16"/>
        <v>0</v>
      </c>
      <c r="AI31" s="108"/>
      <c r="AJ31" s="148">
        <v>24</v>
      </c>
      <c r="AK31" s="149" t="s">
        <v>27</v>
      </c>
      <c r="AL31" s="144">
        <f t="shared" si="8"/>
        <v>422.7</v>
      </c>
      <c r="AM31" s="145">
        <f t="shared" si="9"/>
        <v>0.97734104046242776</v>
      </c>
      <c r="AN31" s="144">
        <f t="shared" si="13"/>
        <v>9.8000000000000007</v>
      </c>
      <c r="AO31" s="145">
        <f t="shared" si="10"/>
        <v>2.2658959537572257E-2</v>
      </c>
      <c r="AP31" s="144">
        <f t="shared" si="14"/>
        <v>0</v>
      </c>
      <c r="AQ31" s="145">
        <f t="shared" si="11"/>
        <v>0</v>
      </c>
    </row>
    <row r="32" spans="1:43" x14ac:dyDescent="0.25">
      <c r="A32" s="156">
        <v>25</v>
      </c>
      <c r="B32" s="157" t="s">
        <v>28</v>
      </c>
      <c r="C32" s="259">
        <f>[7]Mei!C32+[3]Mei!J30</f>
        <v>0</v>
      </c>
      <c r="D32" s="260"/>
      <c r="E32" s="258"/>
      <c r="F32" s="87">
        <f t="shared" si="0"/>
        <v>0</v>
      </c>
      <c r="G32" s="264">
        <f>[7]Mei!G32+[7]Mei!G32</f>
        <v>6</v>
      </c>
      <c r="H32" s="260">
        <v>1.8</v>
      </c>
      <c r="I32" s="260"/>
      <c r="J32" s="87">
        <f t="shared" si="1"/>
        <v>7.8</v>
      </c>
      <c r="K32" s="264">
        <v>1.3</v>
      </c>
      <c r="L32" s="260">
        <v>1.4</v>
      </c>
      <c r="M32" s="260"/>
      <c r="N32" s="87">
        <f t="shared" si="2"/>
        <v>2.7</v>
      </c>
      <c r="O32" s="264">
        <f>[7]Mei!O32+[3]Mei!X30</f>
        <v>3.7</v>
      </c>
      <c r="P32" s="260">
        <v>3.6</v>
      </c>
      <c r="Q32" s="260"/>
      <c r="R32" s="87">
        <f t="shared" si="3"/>
        <v>7.3000000000000007</v>
      </c>
      <c r="S32" s="264"/>
      <c r="T32" s="260"/>
      <c r="U32" s="260"/>
      <c r="V32" s="87">
        <f t="shared" si="4"/>
        <v>0</v>
      </c>
      <c r="W32" s="264">
        <v>10</v>
      </c>
      <c r="X32" s="260">
        <v>2</v>
      </c>
      <c r="Y32" s="260"/>
      <c r="Z32" s="87">
        <f t="shared" si="5"/>
        <v>12</v>
      </c>
      <c r="AA32" s="94">
        <f t="shared" si="12"/>
        <v>29.8</v>
      </c>
      <c r="AB32" s="96" t="s">
        <v>53</v>
      </c>
      <c r="AC32" s="138"/>
      <c r="AD32" s="146">
        <v>25</v>
      </c>
      <c r="AE32" s="147" t="s">
        <v>28</v>
      </c>
      <c r="AF32" s="141">
        <f t="shared" si="15"/>
        <v>21</v>
      </c>
      <c r="AG32" s="141">
        <f t="shared" si="15"/>
        <v>8.8000000000000007</v>
      </c>
      <c r="AH32" s="141">
        <f t="shared" si="16"/>
        <v>0</v>
      </c>
      <c r="AI32" s="108"/>
      <c r="AJ32" s="148">
        <v>25</v>
      </c>
      <c r="AK32" s="149" t="s">
        <v>28</v>
      </c>
      <c r="AL32" s="144">
        <f t="shared" si="8"/>
        <v>21</v>
      </c>
      <c r="AM32" s="145">
        <f t="shared" si="9"/>
        <v>0.70469798657718119</v>
      </c>
      <c r="AN32" s="144">
        <f t="shared" si="13"/>
        <v>8.8000000000000007</v>
      </c>
      <c r="AO32" s="145">
        <f t="shared" si="10"/>
        <v>0.29530201342281881</v>
      </c>
      <c r="AP32" s="144">
        <f t="shared" si="14"/>
        <v>0</v>
      </c>
      <c r="AQ32" s="145">
        <f t="shared" si="11"/>
        <v>0</v>
      </c>
    </row>
    <row r="33" spans="1:43" x14ac:dyDescent="0.25">
      <c r="A33" s="156">
        <v>26</v>
      </c>
      <c r="B33" s="157" t="s">
        <v>29</v>
      </c>
      <c r="C33" s="259">
        <f>[7]Mei!C33+[3]Mei!J31</f>
        <v>120</v>
      </c>
      <c r="D33" s="260">
        <f>5.8+2</f>
        <v>7.8</v>
      </c>
      <c r="E33" s="258"/>
      <c r="F33" s="87">
        <f t="shared" si="0"/>
        <v>127.8</v>
      </c>
      <c r="G33" s="264">
        <f>[7]Mei!G33+[7]Mei!G33</f>
        <v>27.6</v>
      </c>
      <c r="H33" s="260">
        <v>1.4</v>
      </c>
      <c r="I33" s="260"/>
      <c r="J33" s="87">
        <f t="shared" si="1"/>
        <v>29</v>
      </c>
      <c r="K33" s="264">
        <v>2.7</v>
      </c>
      <c r="L33" s="260">
        <v>5.2</v>
      </c>
      <c r="M33" s="260"/>
      <c r="N33" s="87">
        <f t="shared" si="2"/>
        <v>7.9</v>
      </c>
      <c r="O33" s="264">
        <f>[7]Mei!O33+[3]Mei!X31</f>
        <v>224.8</v>
      </c>
      <c r="P33" s="260">
        <f>1.6+2</f>
        <v>3.6</v>
      </c>
      <c r="Q33" s="260"/>
      <c r="R33" s="87">
        <f t="shared" si="3"/>
        <v>228.4</v>
      </c>
      <c r="S33" s="264">
        <f>10+150</f>
        <v>160</v>
      </c>
      <c r="T33" s="260">
        <v>5</v>
      </c>
      <c r="U33" s="260"/>
      <c r="V33" s="87">
        <f t="shared" si="4"/>
        <v>165</v>
      </c>
      <c r="W33" s="264">
        <v>40</v>
      </c>
      <c r="X33" s="260"/>
      <c r="Y33" s="260"/>
      <c r="Z33" s="87">
        <f t="shared" si="5"/>
        <v>40</v>
      </c>
      <c r="AA33" s="94">
        <f t="shared" si="12"/>
        <v>598.1</v>
      </c>
      <c r="AB33" s="96" t="s">
        <v>53</v>
      </c>
      <c r="AC33" s="138"/>
      <c r="AD33" s="146">
        <v>26</v>
      </c>
      <c r="AE33" s="147" t="s">
        <v>29</v>
      </c>
      <c r="AF33" s="141">
        <f t="shared" si="15"/>
        <v>575.1</v>
      </c>
      <c r="AG33" s="141">
        <f t="shared" si="15"/>
        <v>23</v>
      </c>
      <c r="AH33" s="141">
        <f t="shared" si="16"/>
        <v>0</v>
      </c>
      <c r="AI33" s="108"/>
      <c r="AJ33" s="148">
        <v>26</v>
      </c>
      <c r="AK33" s="149" t="s">
        <v>29</v>
      </c>
      <c r="AL33" s="144">
        <f t="shared" si="8"/>
        <v>575.1</v>
      </c>
      <c r="AM33" s="145">
        <f t="shared" si="9"/>
        <v>0.96154489215850192</v>
      </c>
      <c r="AN33" s="144">
        <f t="shared" si="13"/>
        <v>23</v>
      </c>
      <c r="AO33" s="145">
        <f t="shared" si="10"/>
        <v>3.8455107841498075E-2</v>
      </c>
      <c r="AP33" s="144">
        <f t="shared" si="14"/>
        <v>0</v>
      </c>
      <c r="AQ33" s="145">
        <f t="shared" si="11"/>
        <v>0</v>
      </c>
    </row>
    <row r="34" spans="1:43" x14ac:dyDescent="0.25">
      <c r="A34" s="156">
        <v>27</v>
      </c>
      <c r="B34" s="157" t="s">
        <v>30</v>
      </c>
      <c r="C34" s="259">
        <f>[7]Mei!C34+[3]Mei!J32</f>
        <v>20</v>
      </c>
      <c r="D34" s="260">
        <v>2</v>
      </c>
      <c r="E34" s="258">
        <f>3+30</f>
        <v>33</v>
      </c>
      <c r="F34" s="87">
        <f t="shared" si="0"/>
        <v>55</v>
      </c>
      <c r="G34" s="264">
        <f>[7]Mei!G34+[7]Mei!G34</f>
        <v>26.2</v>
      </c>
      <c r="H34" s="260">
        <f>1.1+1</f>
        <v>2.1</v>
      </c>
      <c r="I34" s="260">
        <f>50+30</f>
        <v>80</v>
      </c>
      <c r="J34" s="87">
        <f t="shared" si="1"/>
        <v>108.3</v>
      </c>
      <c r="K34" s="264">
        <v>1.8</v>
      </c>
      <c r="L34" s="260">
        <v>1.8</v>
      </c>
      <c r="M34" s="260">
        <v>100</v>
      </c>
      <c r="N34" s="87">
        <f t="shared" si="2"/>
        <v>103.6</v>
      </c>
      <c r="O34" s="264">
        <f>[7]Mei!O34+[3]Mei!X32</f>
        <v>25.6</v>
      </c>
      <c r="P34" s="260">
        <v>1.7</v>
      </c>
      <c r="Q34" s="260">
        <f>100+30</f>
        <v>130</v>
      </c>
      <c r="R34" s="87">
        <f t="shared" si="3"/>
        <v>157.30000000000001</v>
      </c>
      <c r="S34" s="264">
        <v>10</v>
      </c>
      <c r="T34" s="260"/>
      <c r="U34" s="260">
        <f>3+26</f>
        <v>29</v>
      </c>
      <c r="V34" s="87">
        <f t="shared" si="4"/>
        <v>39</v>
      </c>
      <c r="W34" s="264">
        <v>40</v>
      </c>
      <c r="X34" s="260"/>
      <c r="Y34" s="260">
        <f>50+9</f>
        <v>59</v>
      </c>
      <c r="Z34" s="87">
        <f t="shared" si="5"/>
        <v>99</v>
      </c>
      <c r="AA34" s="94">
        <f t="shared" si="12"/>
        <v>562.20000000000005</v>
      </c>
      <c r="AB34" s="96" t="s">
        <v>53</v>
      </c>
      <c r="AC34" s="138"/>
      <c r="AD34" s="146">
        <v>27</v>
      </c>
      <c r="AE34" s="147" t="s">
        <v>30</v>
      </c>
      <c r="AF34" s="141">
        <f t="shared" si="15"/>
        <v>123.6</v>
      </c>
      <c r="AG34" s="141">
        <f t="shared" si="15"/>
        <v>7.6</v>
      </c>
      <c r="AH34" s="141">
        <f t="shared" si="16"/>
        <v>431</v>
      </c>
      <c r="AI34" s="108"/>
      <c r="AJ34" s="148">
        <v>27</v>
      </c>
      <c r="AK34" s="149" t="s">
        <v>30</v>
      </c>
      <c r="AL34" s="144">
        <f t="shared" si="8"/>
        <v>123.6</v>
      </c>
      <c r="AM34" s="145">
        <f t="shared" si="9"/>
        <v>0.21985058697972248</v>
      </c>
      <c r="AN34" s="144">
        <f t="shared" si="13"/>
        <v>7.6</v>
      </c>
      <c r="AO34" s="145">
        <f t="shared" si="10"/>
        <v>1.3518320882248308E-2</v>
      </c>
      <c r="AP34" s="144">
        <f t="shared" si="14"/>
        <v>431</v>
      </c>
      <c r="AQ34" s="145">
        <f t="shared" si="11"/>
        <v>0.76663109213802916</v>
      </c>
    </row>
    <row r="35" spans="1:43" x14ac:dyDescent="0.25">
      <c r="A35" s="156">
        <v>28</v>
      </c>
      <c r="B35" s="157" t="s">
        <v>31</v>
      </c>
      <c r="C35" s="259">
        <f>[7]Mei!C35+[3]Mei!J33</f>
        <v>120</v>
      </c>
      <c r="D35" s="260">
        <v>1</v>
      </c>
      <c r="E35" s="258"/>
      <c r="F35" s="87">
        <f t="shared" si="0"/>
        <v>121</v>
      </c>
      <c r="G35" s="264">
        <f>[7]Mei!G35+[7]Mei!G35</f>
        <v>25.6</v>
      </c>
      <c r="H35" s="260">
        <v>2.4</v>
      </c>
      <c r="I35" s="260"/>
      <c r="J35" s="87">
        <f t="shared" si="1"/>
        <v>28</v>
      </c>
      <c r="K35" s="264">
        <v>3.2</v>
      </c>
      <c r="L35" s="260">
        <v>1.5</v>
      </c>
      <c r="M35" s="260"/>
      <c r="N35" s="87">
        <f t="shared" si="2"/>
        <v>4.7</v>
      </c>
      <c r="O35" s="264">
        <f>[7]Mei!O35+[3]Mei!X33</f>
        <v>225.8</v>
      </c>
      <c r="P35" s="260">
        <f>3.5+1</f>
        <v>4.5</v>
      </c>
      <c r="Q35" s="260"/>
      <c r="R35" s="87">
        <f t="shared" si="3"/>
        <v>230.3</v>
      </c>
      <c r="S35" s="264">
        <f>10+150</f>
        <v>160</v>
      </c>
      <c r="T35" s="260">
        <v>3</v>
      </c>
      <c r="U35" s="260"/>
      <c r="V35" s="87">
        <f t="shared" si="4"/>
        <v>163</v>
      </c>
      <c r="W35" s="264">
        <v>50</v>
      </c>
      <c r="X35" s="260">
        <v>1</v>
      </c>
      <c r="Y35" s="260"/>
      <c r="Z35" s="87">
        <f t="shared" si="5"/>
        <v>51</v>
      </c>
      <c r="AA35" s="94">
        <f t="shared" si="12"/>
        <v>598</v>
      </c>
      <c r="AB35" s="96" t="s">
        <v>53</v>
      </c>
      <c r="AC35" s="138"/>
      <c r="AD35" s="146">
        <v>28</v>
      </c>
      <c r="AE35" s="147" t="s">
        <v>31</v>
      </c>
      <c r="AF35" s="141">
        <f t="shared" si="15"/>
        <v>584.6</v>
      </c>
      <c r="AG35" s="141">
        <f t="shared" si="15"/>
        <v>13.4</v>
      </c>
      <c r="AH35" s="141">
        <f t="shared" si="16"/>
        <v>0</v>
      </c>
      <c r="AI35" s="108"/>
      <c r="AJ35" s="148">
        <v>28</v>
      </c>
      <c r="AK35" s="149" t="s">
        <v>31</v>
      </c>
      <c r="AL35" s="144">
        <f t="shared" si="8"/>
        <v>584.6</v>
      </c>
      <c r="AM35" s="145">
        <f t="shared" si="9"/>
        <v>0.97759197324414715</v>
      </c>
      <c r="AN35" s="144">
        <f t="shared" si="13"/>
        <v>13.4</v>
      </c>
      <c r="AO35" s="145">
        <f t="shared" si="10"/>
        <v>2.2408026755852843E-2</v>
      </c>
      <c r="AP35" s="144">
        <f t="shared" si="14"/>
        <v>0</v>
      </c>
      <c r="AQ35" s="145">
        <f t="shared" si="11"/>
        <v>0</v>
      </c>
    </row>
    <row r="36" spans="1:43" x14ac:dyDescent="0.25">
      <c r="A36" s="156">
        <v>29</v>
      </c>
      <c r="B36" s="157" t="s">
        <v>32</v>
      </c>
      <c r="C36" s="259">
        <f>[7]Mei!C36+[3]Mei!J34</f>
        <v>0</v>
      </c>
      <c r="D36" s="260"/>
      <c r="E36" s="258"/>
      <c r="F36" s="87">
        <f t="shared" si="0"/>
        <v>0</v>
      </c>
      <c r="G36" s="264">
        <f>[7]Mei!G36+[7]Mei!G36</f>
        <v>6.8</v>
      </c>
      <c r="H36" s="260">
        <v>4.5</v>
      </c>
      <c r="I36" s="260"/>
      <c r="J36" s="87">
        <f t="shared" si="1"/>
        <v>11.3</v>
      </c>
      <c r="K36" s="264">
        <v>3.5</v>
      </c>
      <c r="L36" s="260">
        <v>1.4</v>
      </c>
      <c r="M36" s="260"/>
      <c r="N36" s="87">
        <f t="shared" si="2"/>
        <v>4.9000000000000004</v>
      </c>
      <c r="O36" s="264">
        <f>[7]Mei!O36+[3]Mei!X34</f>
        <v>4.2</v>
      </c>
      <c r="P36" s="260">
        <v>4.2</v>
      </c>
      <c r="Q36" s="260"/>
      <c r="R36" s="87">
        <f t="shared" si="3"/>
        <v>8.4</v>
      </c>
      <c r="S36" s="264"/>
      <c r="T36" s="260"/>
      <c r="U36" s="260"/>
      <c r="V36" s="87">
        <f t="shared" si="4"/>
        <v>0</v>
      </c>
      <c r="W36" s="264">
        <v>0</v>
      </c>
      <c r="X36" s="260"/>
      <c r="Y36" s="260"/>
      <c r="Z36" s="87">
        <f t="shared" si="5"/>
        <v>0</v>
      </c>
      <c r="AA36" s="94">
        <f t="shared" si="12"/>
        <v>24.6</v>
      </c>
      <c r="AB36" s="96" t="s">
        <v>53</v>
      </c>
      <c r="AC36" s="138"/>
      <c r="AD36" s="146">
        <v>29</v>
      </c>
      <c r="AE36" s="147" t="s">
        <v>32</v>
      </c>
      <c r="AF36" s="141">
        <f t="shared" si="15"/>
        <v>14.5</v>
      </c>
      <c r="AG36" s="141">
        <f t="shared" si="15"/>
        <v>10.100000000000001</v>
      </c>
      <c r="AH36" s="141">
        <f t="shared" si="16"/>
        <v>0</v>
      </c>
      <c r="AI36" s="108"/>
      <c r="AJ36" s="148">
        <v>29</v>
      </c>
      <c r="AK36" s="149" t="s">
        <v>32</v>
      </c>
      <c r="AL36" s="144">
        <f t="shared" si="8"/>
        <v>14.5</v>
      </c>
      <c r="AM36" s="145">
        <f t="shared" si="9"/>
        <v>0.58943089430894302</v>
      </c>
      <c r="AN36" s="144">
        <f t="shared" si="13"/>
        <v>10.100000000000001</v>
      </c>
      <c r="AO36" s="145">
        <f t="shared" si="10"/>
        <v>0.41056910569105692</v>
      </c>
      <c r="AP36" s="144">
        <f t="shared" si="14"/>
        <v>0</v>
      </c>
      <c r="AQ36" s="145">
        <f t="shared" si="11"/>
        <v>0</v>
      </c>
    </row>
    <row r="37" spans="1:43" x14ac:dyDescent="0.25">
      <c r="A37" s="156">
        <v>30</v>
      </c>
      <c r="B37" s="157" t="s">
        <v>33</v>
      </c>
      <c r="C37" s="259">
        <f>[7]Mei!C37+[3]Mei!J35</f>
        <v>120</v>
      </c>
      <c r="D37" s="260">
        <v>1</v>
      </c>
      <c r="E37" s="258"/>
      <c r="F37" s="87">
        <f t="shared" si="0"/>
        <v>121</v>
      </c>
      <c r="G37" s="264">
        <f>[7]Mei!G37+[7]Mei!G37</f>
        <v>7</v>
      </c>
      <c r="H37" s="260">
        <v>1.4</v>
      </c>
      <c r="I37" s="260"/>
      <c r="J37" s="87">
        <f t="shared" si="1"/>
        <v>8.4</v>
      </c>
      <c r="K37" s="264">
        <v>1.4</v>
      </c>
      <c r="L37" s="260">
        <v>1</v>
      </c>
      <c r="M37" s="260"/>
      <c r="N37" s="87">
        <f t="shared" si="2"/>
        <v>2.4</v>
      </c>
      <c r="O37" s="264">
        <f>[7]Mei!O37+[3]Mei!X35</f>
        <v>24.3</v>
      </c>
      <c r="P37" s="260">
        <v>2.2000000000000002</v>
      </c>
      <c r="Q37" s="260"/>
      <c r="R37" s="87">
        <f t="shared" si="3"/>
        <v>26.5</v>
      </c>
      <c r="S37" s="264">
        <f>10+50</f>
        <v>60</v>
      </c>
      <c r="T37" s="260">
        <v>1</v>
      </c>
      <c r="U37" s="260"/>
      <c r="V37" s="87">
        <f t="shared" si="4"/>
        <v>61</v>
      </c>
      <c r="W37" s="264">
        <v>40</v>
      </c>
      <c r="X37" s="260"/>
      <c r="Y37" s="260"/>
      <c r="Z37" s="87">
        <f t="shared" si="5"/>
        <v>40</v>
      </c>
      <c r="AA37" s="94">
        <f t="shared" si="12"/>
        <v>259.3</v>
      </c>
      <c r="AB37" s="96" t="s">
        <v>53</v>
      </c>
      <c r="AC37" s="138"/>
      <c r="AD37" s="146">
        <v>30</v>
      </c>
      <c r="AE37" s="147" t="s">
        <v>33</v>
      </c>
      <c r="AF37" s="141">
        <f t="shared" si="15"/>
        <v>252.70000000000002</v>
      </c>
      <c r="AG37" s="141">
        <f t="shared" si="15"/>
        <v>6.6</v>
      </c>
      <c r="AH37" s="141">
        <f t="shared" si="16"/>
        <v>0</v>
      </c>
      <c r="AI37" s="108"/>
      <c r="AJ37" s="148">
        <v>30</v>
      </c>
      <c r="AK37" s="149" t="s">
        <v>33</v>
      </c>
      <c r="AL37" s="144">
        <f t="shared" si="8"/>
        <v>252.70000000000002</v>
      </c>
      <c r="AM37" s="145">
        <f t="shared" si="9"/>
        <v>0.97454685692248366</v>
      </c>
      <c r="AN37" s="144">
        <f t="shared" si="13"/>
        <v>6.6</v>
      </c>
      <c r="AO37" s="145">
        <f t="shared" si="10"/>
        <v>2.5453143077516387E-2</v>
      </c>
      <c r="AP37" s="144">
        <f t="shared" si="14"/>
        <v>0</v>
      </c>
      <c r="AQ37" s="145">
        <f t="shared" si="11"/>
        <v>0</v>
      </c>
    </row>
    <row r="38" spans="1:43" ht="15.75" thickBot="1" x14ac:dyDescent="0.3">
      <c r="A38" s="158">
        <v>31</v>
      </c>
      <c r="B38" s="159" t="s">
        <v>34</v>
      </c>
      <c r="C38" s="261">
        <f>[7]Mei!C38+[3]Mei!J36</f>
        <v>20</v>
      </c>
      <c r="D38" s="262"/>
      <c r="E38" s="258"/>
      <c r="F38" s="88">
        <f t="shared" si="0"/>
        <v>20</v>
      </c>
      <c r="G38" s="265">
        <f>[7]Mei!G38+[7]Mei!G38</f>
        <v>7.4</v>
      </c>
      <c r="H38" s="262">
        <f>1+3</f>
        <v>4</v>
      </c>
      <c r="I38" s="262"/>
      <c r="J38" s="88">
        <f t="shared" si="1"/>
        <v>11.4</v>
      </c>
      <c r="K38" s="265">
        <v>2.8</v>
      </c>
      <c r="L38" s="262">
        <v>2.1</v>
      </c>
      <c r="M38" s="262"/>
      <c r="N38" s="88">
        <f t="shared" si="2"/>
        <v>4.9000000000000004</v>
      </c>
      <c r="O38" s="265">
        <f>[7]Mei!O38+[3]Mei!X36</f>
        <v>224.1</v>
      </c>
      <c r="P38" s="262">
        <f>1.4+2</f>
        <v>3.4</v>
      </c>
      <c r="Q38" s="262"/>
      <c r="R38" s="88">
        <f t="shared" si="3"/>
        <v>227.5</v>
      </c>
      <c r="S38" s="265">
        <f>10+100</f>
        <v>110</v>
      </c>
      <c r="T38" s="262">
        <v>1</v>
      </c>
      <c r="U38" s="262"/>
      <c r="V38" s="88">
        <f t="shared" si="4"/>
        <v>111</v>
      </c>
      <c r="W38" s="265">
        <v>50</v>
      </c>
      <c r="X38" s="262">
        <v>2</v>
      </c>
      <c r="Y38" s="262"/>
      <c r="Z38" s="88">
        <f t="shared" si="5"/>
        <v>52</v>
      </c>
      <c r="AA38" s="94">
        <f t="shared" si="12"/>
        <v>426.8</v>
      </c>
      <c r="AB38" s="97" t="s">
        <v>53</v>
      </c>
      <c r="AC38" s="138"/>
      <c r="AD38" s="150">
        <v>31</v>
      </c>
      <c r="AE38" s="151" t="s">
        <v>34</v>
      </c>
      <c r="AF38" s="141">
        <f t="shared" si="15"/>
        <v>414.29999999999995</v>
      </c>
      <c r="AG38" s="141">
        <f t="shared" si="15"/>
        <v>12.5</v>
      </c>
      <c r="AH38" s="141">
        <f t="shared" si="16"/>
        <v>0</v>
      </c>
      <c r="AI38" s="108"/>
      <c r="AJ38" s="148">
        <v>31</v>
      </c>
      <c r="AK38" s="149" t="s">
        <v>34</v>
      </c>
      <c r="AL38" s="152">
        <f t="shared" si="8"/>
        <v>414.29999999999995</v>
      </c>
      <c r="AM38" s="153">
        <f t="shared" si="9"/>
        <v>0.97071227741330823</v>
      </c>
      <c r="AN38" s="144">
        <f t="shared" si="13"/>
        <v>12.5</v>
      </c>
      <c r="AO38" s="145">
        <f t="shared" si="10"/>
        <v>2.9287722586691659E-2</v>
      </c>
      <c r="AP38" s="144">
        <f t="shared" si="14"/>
        <v>0</v>
      </c>
      <c r="AQ38" s="145">
        <f t="shared" si="11"/>
        <v>0</v>
      </c>
    </row>
    <row r="39" spans="1:43" ht="33.75" customHeight="1" thickBot="1" x14ac:dyDescent="0.3">
      <c r="A39" s="308" t="s">
        <v>58</v>
      </c>
      <c r="B39" s="309"/>
      <c r="C39" s="99">
        <f t="shared" ref="C39:I39" si="17">SUM(C8:C38)</f>
        <v>1580</v>
      </c>
      <c r="D39" s="100">
        <f t="shared" si="17"/>
        <v>64.3</v>
      </c>
      <c r="E39" s="100">
        <f t="shared" si="17"/>
        <v>33</v>
      </c>
      <c r="F39" s="219">
        <f t="shared" si="17"/>
        <v>1677.3</v>
      </c>
      <c r="G39" s="101">
        <f t="shared" si="17"/>
        <v>640.20000000000005</v>
      </c>
      <c r="H39" s="102">
        <f t="shared" si="17"/>
        <v>95.3</v>
      </c>
      <c r="I39" s="102">
        <f t="shared" si="17"/>
        <v>80</v>
      </c>
      <c r="J39" s="219">
        <f>SUM(J8:J38)</f>
        <v>815.49999999999989</v>
      </c>
      <c r="K39" s="101">
        <f>SUM(K8:K38)</f>
        <v>66.2</v>
      </c>
      <c r="L39" s="102">
        <f>SUM(L8:L38)</f>
        <v>62</v>
      </c>
      <c r="M39" s="102">
        <f t="shared" ref="M39" si="18">SUM(M8:M38)</f>
        <v>100</v>
      </c>
      <c r="N39" s="219">
        <f>SUM(N8:N38)</f>
        <v>228.20000000000002</v>
      </c>
      <c r="O39" s="101">
        <f>SUM(O8:O38)</f>
        <v>3038.3999999999996</v>
      </c>
      <c r="P39" s="102">
        <f>SUM(P8:P38)</f>
        <v>117.60000000000001</v>
      </c>
      <c r="Q39" s="102">
        <f t="shared" ref="Q39" si="19">SUM(Q8:Q38)</f>
        <v>130</v>
      </c>
      <c r="R39" s="219">
        <f>SUM(R8:R38)</f>
        <v>3286.0000000000009</v>
      </c>
      <c r="S39" s="101">
        <f>SUM(S8:S38)</f>
        <v>2580</v>
      </c>
      <c r="T39" s="102">
        <f>SUM(T8:T38)</f>
        <v>85</v>
      </c>
      <c r="U39" s="102">
        <f t="shared" ref="U39" si="20">SUM(U8:U38)</f>
        <v>29</v>
      </c>
      <c r="V39" s="219">
        <f>SUM(V8:V38)</f>
        <v>2694</v>
      </c>
      <c r="W39" s="101">
        <f>SUM(W8:W38)</f>
        <v>1190</v>
      </c>
      <c r="X39" s="102">
        <f>SUM(X8:X38)</f>
        <v>32</v>
      </c>
      <c r="Y39" s="102">
        <f t="shared" ref="Y39" si="21">SUM(Y8:Y38)</f>
        <v>59</v>
      </c>
      <c r="Z39" s="219">
        <f>SUM(Z8:Z38)</f>
        <v>1281</v>
      </c>
      <c r="AA39" s="220">
        <f>SUM(AA8:AA38)</f>
        <v>9982</v>
      </c>
      <c r="AB39" s="221" t="s">
        <v>51</v>
      </c>
      <c r="AC39" s="103"/>
      <c r="AD39" s="104" t="s">
        <v>96</v>
      </c>
      <c r="AE39" s="105"/>
      <c r="AF39" s="106">
        <f>SUM(AF8:AF38)</f>
        <v>9094.8000000000011</v>
      </c>
      <c r="AG39" s="106">
        <f>SUM(AG8:AG38)</f>
        <v>456.2000000000001</v>
      </c>
      <c r="AH39" s="107">
        <f>SUM(AH8:AH38)</f>
        <v>431</v>
      </c>
      <c r="AI39" s="108"/>
      <c r="AJ39" s="109" t="s">
        <v>94</v>
      </c>
      <c r="AK39" s="110"/>
      <c r="AL39" s="111">
        <f>SUM(AL8:AL38)</f>
        <v>9094.8000000000011</v>
      </c>
      <c r="AM39" s="112" t="s">
        <v>64</v>
      </c>
      <c r="AN39" s="111">
        <f>SUM(AN8:AN38)</f>
        <v>456.2000000000001</v>
      </c>
      <c r="AO39" s="113" t="s">
        <v>64</v>
      </c>
      <c r="AP39" s="111">
        <f>SUM(AP8:AP38)</f>
        <v>431</v>
      </c>
      <c r="AQ39" s="113" t="s">
        <v>64</v>
      </c>
    </row>
    <row r="40" spans="1:43" ht="33.75" customHeight="1" thickBot="1" x14ac:dyDescent="0.3">
      <c r="A40" s="308" t="s">
        <v>59</v>
      </c>
      <c r="B40" s="309"/>
      <c r="C40" s="114">
        <f>C39/1000</f>
        <v>1.58</v>
      </c>
      <c r="D40" s="115">
        <f t="shared" ref="D40:E40" si="22">D39/1000</f>
        <v>6.4299999999999996E-2</v>
      </c>
      <c r="E40" s="115">
        <f t="shared" si="22"/>
        <v>3.3000000000000002E-2</v>
      </c>
      <c r="F40" s="222">
        <f>F39/1000</f>
        <v>1.6773</v>
      </c>
      <c r="G40" s="116">
        <f>G39/1000</f>
        <v>0.64019999999999999</v>
      </c>
      <c r="H40" s="117">
        <f t="shared" ref="H40:I40" si="23">H39/1000</f>
        <v>9.5299999999999996E-2</v>
      </c>
      <c r="I40" s="117">
        <f t="shared" si="23"/>
        <v>0.08</v>
      </c>
      <c r="J40" s="222">
        <f>J39/1000</f>
        <v>0.81549999999999989</v>
      </c>
      <c r="K40" s="116">
        <f>K39/1000</f>
        <v>6.6200000000000009E-2</v>
      </c>
      <c r="L40" s="117">
        <f t="shared" ref="L40:M40" si="24">L39/1000</f>
        <v>6.2E-2</v>
      </c>
      <c r="M40" s="117">
        <f t="shared" si="24"/>
        <v>0.1</v>
      </c>
      <c r="N40" s="222">
        <f>N39/1000</f>
        <v>0.22820000000000001</v>
      </c>
      <c r="O40" s="116">
        <f>O39/1000</f>
        <v>3.0383999999999998</v>
      </c>
      <c r="P40" s="117">
        <f t="shared" ref="P40:Q40" si="25">P39/1000</f>
        <v>0.11760000000000001</v>
      </c>
      <c r="Q40" s="117">
        <f t="shared" si="25"/>
        <v>0.13</v>
      </c>
      <c r="R40" s="222">
        <f>R39/1000</f>
        <v>3.2860000000000009</v>
      </c>
      <c r="S40" s="116">
        <f>S39/1000</f>
        <v>2.58</v>
      </c>
      <c r="T40" s="117">
        <f t="shared" ref="T40" si="26">T39/1000</f>
        <v>8.5000000000000006E-2</v>
      </c>
      <c r="U40" s="117">
        <f>U39/1000</f>
        <v>2.9000000000000001E-2</v>
      </c>
      <c r="V40" s="222">
        <f>V39/1000</f>
        <v>2.694</v>
      </c>
      <c r="W40" s="116">
        <f>W39/1000</f>
        <v>1.19</v>
      </c>
      <c r="X40" s="117">
        <f t="shared" ref="X40:Y40" si="27">X39/1000</f>
        <v>3.2000000000000001E-2</v>
      </c>
      <c r="Y40" s="117">
        <f t="shared" si="27"/>
        <v>5.8999999999999997E-2</v>
      </c>
      <c r="Z40" s="222">
        <f>Z39/1000</f>
        <v>1.2809999999999999</v>
      </c>
      <c r="AA40" s="223">
        <f>AA39/1000</f>
        <v>9.9819999999999993</v>
      </c>
      <c r="AB40" s="224" t="s">
        <v>52</v>
      </c>
      <c r="AC40" s="103"/>
      <c r="AD40" s="118" t="s">
        <v>97</v>
      </c>
      <c r="AE40" s="119"/>
      <c r="AF40" s="120">
        <f>AF39/1000</f>
        <v>9.0948000000000011</v>
      </c>
      <c r="AG40" s="120">
        <f t="shared" ref="AG40:AH40" si="28">AG39/1000</f>
        <v>0.45620000000000011</v>
      </c>
      <c r="AH40" s="121">
        <f t="shared" si="28"/>
        <v>0.43099999999999999</v>
      </c>
      <c r="AI40" s="108"/>
      <c r="AJ40" s="109" t="s">
        <v>95</v>
      </c>
      <c r="AK40" s="110"/>
      <c r="AL40" s="122">
        <f>AL39/1000</f>
        <v>9.0948000000000011</v>
      </c>
      <c r="AM40" s="123">
        <f>AL40/AA40</f>
        <v>0.91112001602885206</v>
      </c>
      <c r="AN40" s="122">
        <f>AN39/1000</f>
        <v>0.45620000000000011</v>
      </c>
      <c r="AO40" s="124">
        <f>AN40/AA40</f>
        <v>4.5702264075335619E-2</v>
      </c>
      <c r="AP40" s="122">
        <f>AP39/1000</f>
        <v>0.43099999999999999</v>
      </c>
      <c r="AQ40" s="124">
        <f>AP40/AA40</f>
        <v>4.3177719895812462E-2</v>
      </c>
    </row>
    <row r="41" spans="1:43" ht="33.75" customHeight="1" thickBot="1" x14ac:dyDescent="0.3">
      <c r="A41" s="308" t="s">
        <v>74</v>
      </c>
      <c r="B41" s="309"/>
      <c r="C41" s="114">
        <f>_xlfn.AGGREGATE(1,7,C8:C38)</f>
        <v>50.967741935483872</v>
      </c>
      <c r="D41" s="114">
        <f>_xlfn.AGGREGATE(1,7,D8:D38)</f>
        <v>3.0619047619047617</v>
      </c>
      <c r="E41" s="114">
        <f>_xlfn.AGGREGATE(1,7,E8:E38)</f>
        <v>33</v>
      </c>
      <c r="F41" s="222">
        <f>AVERAGEIF(F8:F38,"&gt;0")</f>
        <v>69.887500000000003</v>
      </c>
      <c r="G41" s="114">
        <f>_xlfn.AGGREGATE(1,7,G8:G38)</f>
        <v>20.651612903225807</v>
      </c>
      <c r="H41" s="114">
        <f>_xlfn.AGGREGATE(1,7,H8:H38)</f>
        <v>3.0741935483870968</v>
      </c>
      <c r="I41" s="114">
        <f>_xlfn.AGGREGATE(1,7,I8:I38)</f>
        <v>80</v>
      </c>
      <c r="J41" s="222">
        <f>AVERAGEIF(J8:J38,"&gt;0")</f>
        <v>26.306451612903221</v>
      </c>
      <c r="K41" s="114">
        <f>_xlfn.AGGREGATE(1,7,K8:K38)</f>
        <v>2.1354838709677422</v>
      </c>
      <c r="L41" s="114">
        <f>_xlfn.AGGREGATE(1,7,L8:L38)</f>
        <v>2</v>
      </c>
      <c r="M41" s="114">
        <f>_xlfn.AGGREGATE(1,7,M8:M38)</f>
        <v>100</v>
      </c>
      <c r="N41" s="222">
        <f>AVERAGEIF(N8:N38,"&gt;0")</f>
        <v>7.3612903225806461</v>
      </c>
      <c r="O41" s="114">
        <f>_xlfn.AGGREGATE(1,7,O8:O38)</f>
        <v>98.01290322580644</v>
      </c>
      <c r="P41" s="114">
        <f>_xlfn.AGGREGATE(1,7,P8:P38)</f>
        <v>3.7935483870967746</v>
      </c>
      <c r="Q41" s="114">
        <f>_xlfn.AGGREGATE(1,7,Q8:Q38)</f>
        <v>130</v>
      </c>
      <c r="R41" s="222">
        <f>AVERAGEIF(R8:R38,"&gt;0")</f>
        <v>106.00000000000003</v>
      </c>
      <c r="S41" s="114">
        <f>_xlfn.AGGREGATE(1,7,S8:S38)</f>
        <v>95.555555555555557</v>
      </c>
      <c r="T41" s="114">
        <f>_xlfn.AGGREGATE(1,7,T8:T38)</f>
        <v>3.4</v>
      </c>
      <c r="U41" s="114">
        <f>_xlfn.AGGREGATE(1,7,U8:U38)</f>
        <v>29</v>
      </c>
      <c r="V41" s="222">
        <f>AVERAGEIF(V8:V38,"&gt;0")</f>
        <v>99.777777777777771</v>
      </c>
      <c r="W41" s="114">
        <f>_xlfn.AGGREGATE(1,7,W8:W38)</f>
        <v>38.387096774193552</v>
      </c>
      <c r="X41" s="114">
        <f>_xlfn.AGGREGATE(1,7,X8:X38)</f>
        <v>1.7777777777777777</v>
      </c>
      <c r="Y41" s="114">
        <f>_xlfn.AGGREGATE(1,7,Y8:Y38)</f>
        <v>59</v>
      </c>
      <c r="Z41" s="222">
        <f>AVERAGEIF(Z8:Z38,"&gt;0")</f>
        <v>45.75</v>
      </c>
      <c r="AA41" s="223">
        <f>AVERAGEIF(AA8:AA38,"&gt;0")</f>
        <v>322</v>
      </c>
      <c r="AB41" s="225" t="s">
        <v>75</v>
      </c>
      <c r="AC41" s="103"/>
      <c r="AD41" s="118" t="s">
        <v>98</v>
      </c>
      <c r="AE41" s="119"/>
      <c r="AF41" s="125">
        <f>AVERAGEIF(AF8:AF38,"&gt;0")</f>
        <v>293.38064516129037</v>
      </c>
      <c r="AG41" s="125">
        <f>AVERAGEIF(AG8:AG38,"&gt;0")</f>
        <v>14.716129032258069</v>
      </c>
      <c r="AH41" s="125">
        <f>AVERAGEIF(AH8:AH38,"&gt;0")</f>
        <v>431</v>
      </c>
      <c r="AI41" s="108"/>
      <c r="AJ41" s="109" t="s">
        <v>99</v>
      </c>
      <c r="AK41" s="110"/>
      <c r="AL41" s="125">
        <f>AVERAGEIF(AL8:AL38,"&gt;0")</f>
        <v>293.38064516129037</v>
      </c>
      <c r="AM41" s="126" t="s">
        <v>64</v>
      </c>
      <c r="AN41" s="125">
        <f>AVERAGEIF(AN8:AN38,"&gt;0")</f>
        <v>14.716129032258069</v>
      </c>
      <c r="AO41" s="124" t="s">
        <v>64</v>
      </c>
      <c r="AP41" s="125">
        <f>AVERAGEIF(AP8:AP38,"&gt;0")</f>
        <v>431</v>
      </c>
      <c r="AQ41" s="124" t="s">
        <v>64</v>
      </c>
    </row>
    <row r="42" spans="1:43" x14ac:dyDescent="0.25">
      <c r="J42" s="89" t="s">
        <v>61</v>
      </c>
    </row>
    <row r="44" spans="1:43" x14ac:dyDescent="0.25">
      <c r="A44" s="128" t="s">
        <v>61</v>
      </c>
      <c r="C44" s="130" t="s">
        <v>50</v>
      </c>
      <c r="D44" s="131"/>
    </row>
    <row r="45" spans="1:43" x14ac:dyDescent="0.25">
      <c r="C45" s="132"/>
      <c r="D45" s="131" t="s">
        <v>133</v>
      </c>
    </row>
    <row r="46" spans="1:43" x14ac:dyDescent="0.25">
      <c r="C46" s="133"/>
      <c r="D46" s="131" t="s">
        <v>100</v>
      </c>
    </row>
    <row r="47" spans="1:43" x14ac:dyDescent="0.25">
      <c r="C47" s="134"/>
      <c r="D47" s="131" t="s">
        <v>100</v>
      </c>
    </row>
    <row r="48" spans="1:43" x14ac:dyDescent="0.25">
      <c r="C48" s="135"/>
      <c r="D48" s="131" t="s">
        <v>100</v>
      </c>
    </row>
    <row r="49" spans="3:5" x14ac:dyDescent="0.25">
      <c r="C49" s="136"/>
      <c r="D49" s="131" t="s">
        <v>100</v>
      </c>
    </row>
    <row r="50" spans="3:5" x14ac:dyDescent="0.25">
      <c r="C50" s="137"/>
      <c r="D50" s="131" t="s">
        <v>100</v>
      </c>
    </row>
    <row r="51" spans="3:5" x14ac:dyDescent="0.25">
      <c r="E51" s="129" t="s">
        <v>61</v>
      </c>
    </row>
  </sheetData>
  <sheetProtection algorithmName="SHA-512" hashValue="FKZEUc59dzoOo4se3yH3sQeomFTnpldV93n2pR3YVA36SgoUtKWJrZ47glsuF+YJjUqn6NkdJJWy9fuJ5y7H9A==" saltValue="x+ir2e9u+VeKbairAY24Xg==" spinCount="100000" sheet="1" objects="1" scenarios="1" formatColumns="0" formatRows="0"/>
  <mergeCells count="14">
    <mergeCell ref="A41:B41"/>
    <mergeCell ref="W6:Y6"/>
    <mergeCell ref="A4:A7"/>
    <mergeCell ref="B4:B7"/>
    <mergeCell ref="A39:B39"/>
    <mergeCell ref="A40:B40"/>
    <mergeCell ref="AJ6:AQ6"/>
    <mergeCell ref="AA3:AA7"/>
    <mergeCell ref="AB3:AB7"/>
    <mergeCell ref="C6:E6"/>
    <mergeCell ref="G6:I6"/>
    <mergeCell ref="K6:M6"/>
    <mergeCell ref="O6:Q6"/>
    <mergeCell ref="S6:U6"/>
  </mergeCells>
  <printOptions horizontalCentered="1"/>
  <pageMargins left="0.19685039370078741" right="0.19685039370078741" top="0.39370078740157483" bottom="0.39370078740157483" header="0.11811023622047245" footer="0.11811023622047245"/>
  <pageSetup paperSize="9" scale="68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744FD-6E4E-4B87-B264-73514AD25B23}">
  <sheetPr>
    <tabColor rgb="FFCCFFFF"/>
    <pageSetUpPr fitToPage="1"/>
  </sheetPr>
  <dimension ref="A1:AQ51"/>
  <sheetViews>
    <sheetView showGridLines="0" view="pageBreakPreview" zoomScale="70" zoomScaleNormal="107" zoomScaleSheetLayoutView="70" workbookViewId="0">
      <pane xSplit="2" ySplit="7" topLeftCell="C8" activePane="bottomRight" state="frozen"/>
      <selection activeCell="H31" sqref="H31"/>
      <selection pane="topRight" activeCell="H31" sqref="H31"/>
      <selection pane="bottomLeft" activeCell="H31" sqref="H31"/>
      <selection pane="bottomRight" activeCell="Q17" sqref="Q17"/>
    </sheetView>
  </sheetViews>
  <sheetFormatPr defaultColWidth="9.140625" defaultRowHeight="15" x14ac:dyDescent="0.25"/>
  <cols>
    <col min="1" max="1" width="11.42578125" style="128" customWidth="1"/>
    <col min="2" max="2" width="7.28515625" style="128" customWidth="1"/>
    <col min="3" max="5" width="7.85546875" style="129" customWidth="1"/>
    <col min="6" max="6" width="7.85546875" style="89" customWidth="1"/>
    <col min="7" max="9" width="7.85546875" style="129" customWidth="1"/>
    <col min="10" max="10" width="7.85546875" style="89" customWidth="1"/>
    <col min="11" max="13" width="7.85546875" style="129" customWidth="1"/>
    <col min="14" max="14" width="7.85546875" style="89" customWidth="1"/>
    <col min="15" max="17" width="7.85546875" style="129" customWidth="1"/>
    <col min="18" max="18" width="7.85546875" style="89" customWidth="1"/>
    <col min="19" max="21" width="7.85546875" style="129" customWidth="1"/>
    <col min="22" max="22" width="7.85546875" style="89" customWidth="1"/>
    <col min="23" max="25" width="7.85546875" style="129" customWidth="1"/>
    <col min="26" max="26" width="7.85546875" style="89" customWidth="1"/>
    <col min="27" max="27" width="10.42578125" style="91" customWidth="1"/>
    <col min="28" max="28" width="12.140625" style="98" customWidth="1"/>
    <col min="29" max="29" width="8.5703125" style="98" hidden="1" customWidth="1"/>
    <col min="30" max="30" width="14.140625" style="129" hidden="1" customWidth="1"/>
    <col min="31" max="31" width="4.5703125" style="129" hidden="1" customWidth="1"/>
    <col min="32" max="32" width="11.7109375" style="129" hidden="1" customWidth="1"/>
    <col min="33" max="34" width="10.7109375" style="129" hidden="1" customWidth="1"/>
    <col min="35" max="35" width="8.5703125" style="129" hidden="1" customWidth="1"/>
    <col min="36" max="36" width="15.85546875" style="129" hidden="1" customWidth="1"/>
    <col min="37" max="37" width="4.5703125" style="129" hidden="1" customWidth="1"/>
    <col min="38" max="38" width="7.7109375" style="129" hidden="1" customWidth="1"/>
    <col min="39" max="39" width="11.5703125" style="129" hidden="1" customWidth="1"/>
    <col min="40" max="40" width="6.5703125" style="129" hidden="1" customWidth="1"/>
    <col min="41" max="41" width="11.85546875" style="129" hidden="1" customWidth="1"/>
    <col min="42" max="42" width="6.5703125" style="129" hidden="1" customWidth="1"/>
    <col min="43" max="43" width="11.85546875" style="129" hidden="1" customWidth="1"/>
    <col min="44" max="16384" width="9.140625" style="98"/>
  </cols>
  <sheetData>
    <row r="1" spans="1:43" x14ac:dyDescent="0.25">
      <c r="A1" s="226" t="s">
        <v>116</v>
      </c>
      <c r="B1" s="227" t="str">
        <f>'Rekap Neraca Pengelolaan Sampah'!C3</f>
        <v>PT PELINDO DAYA SEJAHTERA</v>
      </c>
    </row>
    <row r="2" spans="1:43" ht="15.75" thickBot="1" x14ac:dyDescent="0.3">
      <c r="A2" s="226" t="s">
        <v>42</v>
      </c>
      <c r="B2" s="227">
        <f>'Rekap Neraca Pengelolaan Sampah'!G2</f>
        <v>2025</v>
      </c>
    </row>
    <row r="3" spans="1:43" ht="15.75" thickBot="1" x14ac:dyDescent="0.3">
      <c r="A3" s="160" t="s">
        <v>2</v>
      </c>
      <c r="B3" s="82" t="s">
        <v>73</v>
      </c>
      <c r="C3" s="160" t="s">
        <v>36</v>
      </c>
      <c r="D3" s="90"/>
      <c r="E3" s="90"/>
      <c r="F3" s="82"/>
      <c r="G3" s="160" t="s">
        <v>36</v>
      </c>
      <c r="H3" s="90"/>
      <c r="I3" s="90"/>
      <c r="J3" s="90"/>
      <c r="K3" s="160" t="s">
        <v>36</v>
      </c>
      <c r="L3" s="90"/>
      <c r="M3" s="90"/>
      <c r="N3" s="90"/>
      <c r="O3" s="160" t="s">
        <v>36</v>
      </c>
      <c r="P3" s="90"/>
      <c r="Q3" s="90"/>
      <c r="R3" s="90"/>
      <c r="S3" s="160" t="s">
        <v>36</v>
      </c>
      <c r="T3" s="90"/>
      <c r="U3" s="90"/>
      <c r="V3" s="90"/>
      <c r="W3" s="160" t="s">
        <v>36</v>
      </c>
      <c r="X3" s="90"/>
      <c r="Y3" s="90"/>
      <c r="Z3" s="90"/>
      <c r="AA3" s="297" t="s">
        <v>125</v>
      </c>
      <c r="AB3" s="300" t="s">
        <v>57</v>
      </c>
      <c r="AD3" s="161" t="s">
        <v>54</v>
      </c>
      <c r="AE3" s="162"/>
      <c r="AF3" s="162"/>
      <c r="AG3" s="162"/>
      <c r="AH3" s="163"/>
      <c r="AI3" s="91"/>
      <c r="AJ3" s="164" t="s">
        <v>56</v>
      </c>
      <c r="AK3" s="165"/>
      <c r="AL3" s="165"/>
      <c r="AM3" s="165"/>
      <c r="AN3" s="165"/>
      <c r="AO3" s="165"/>
      <c r="AP3" s="165"/>
      <c r="AQ3" s="165"/>
    </row>
    <row r="4" spans="1:43" x14ac:dyDescent="0.25">
      <c r="A4" s="310" t="s">
        <v>0</v>
      </c>
      <c r="B4" s="313" t="s">
        <v>87</v>
      </c>
      <c r="C4" s="98" t="s">
        <v>37</v>
      </c>
      <c r="D4" s="98"/>
      <c r="E4" s="98"/>
      <c r="F4" s="83"/>
      <c r="G4" s="166" t="s">
        <v>37</v>
      </c>
      <c r="H4" s="98"/>
      <c r="I4" s="98"/>
      <c r="J4" s="91"/>
      <c r="K4" s="166" t="s">
        <v>37</v>
      </c>
      <c r="L4" s="98"/>
      <c r="M4" s="98"/>
      <c r="N4" s="91"/>
      <c r="O4" s="166" t="s">
        <v>37</v>
      </c>
      <c r="P4" s="98"/>
      <c r="Q4" s="98"/>
      <c r="R4" s="91"/>
      <c r="S4" s="166" t="s">
        <v>37</v>
      </c>
      <c r="T4" s="98"/>
      <c r="U4" s="98"/>
      <c r="V4" s="91"/>
      <c r="W4" s="166" t="s">
        <v>37</v>
      </c>
      <c r="X4" s="98"/>
      <c r="Y4" s="98"/>
      <c r="Z4" s="91"/>
      <c r="AA4" s="298"/>
      <c r="AB4" s="301"/>
      <c r="AD4" s="167" t="s">
        <v>55</v>
      </c>
      <c r="AE4" s="168"/>
      <c r="AF4" s="168"/>
      <c r="AG4" s="169"/>
      <c r="AH4" s="170"/>
      <c r="AI4" s="98"/>
      <c r="AJ4" s="171" t="s">
        <v>126</v>
      </c>
      <c r="AK4" s="172"/>
      <c r="AL4" s="172"/>
      <c r="AM4" s="173"/>
      <c r="AN4" s="173"/>
      <c r="AO4" s="173"/>
      <c r="AP4" s="173"/>
      <c r="AQ4" s="173"/>
    </row>
    <row r="5" spans="1:43" ht="15.75" thickBot="1" x14ac:dyDescent="0.3">
      <c r="A5" s="311"/>
      <c r="B5" s="314"/>
      <c r="C5" s="91" t="s">
        <v>3</v>
      </c>
      <c r="D5" s="91"/>
      <c r="E5" s="91"/>
      <c r="F5" s="83"/>
      <c r="G5" s="174" t="s">
        <v>3</v>
      </c>
      <c r="H5" s="91"/>
      <c r="I5" s="91"/>
      <c r="J5" s="91"/>
      <c r="K5" s="174" t="s">
        <v>3</v>
      </c>
      <c r="L5" s="91"/>
      <c r="M5" s="91"/>
      <c r="N5" s="91"/>
      <c r="O5" s="174" t="s">
        <v>3</v>
      </c>
      <c r="P5" s="91"/>
      <c r="Q5" s="91"/>
      <c r="R5" s="91"/>
      <c r="S5" s="174" t="s">
        <v>3</v>
      </c>
      <c r="T5" s="91"/>
      <c r="U5" s="91"/>
      <c r="V5" s="91"/>
      <c r="W5" s="174" t="s">
        <v>3</v>
      </c>
      <c r="X5" s="91"/>
      <c r="Y5" s="91"/>
      <c r="Z5" s="91"/>
      <c r="AA5" s="298"/>
      <c r="AB5" s="301"/>
      <c r="AD5" s="175" t="s">
        <v>37</v>
      </c>
      <c r="AE5" s="169"/>
      <c r="AF5" s="169"/>
      <c r="AG5" s="168"/>
      <c r="AH5" s="176"/>
      <c r="AI5" s="91"/>
      <c r="AJ5" s="177" t="s">
        <v>91</v>
      </c>
      <c r="AK5" s="178" t="str">
        <f>B3</f>
        <v>Juni</v>
      </c>
      <c r="AL5" s="178" t="s">
        <v>63</v>
      </c>
      <c r="AM5" s="178" t="str">
        <f>B4</f>
        <v>Tanggal</v>
      </c>
      <c r="AN5" s="179"/>
      <c r="AO5" s="179"/>
      <c r="AP5" s="179"/>
      <c r="AQ5" s="179"/>
    </row>
    <row r="6" spans="1:43" ht="30.75" customHeight="1" thickBot="1" x14ac:dyDescent="0.3">
      <c r="A6" s="311"/>
      <c r="B6" s="314"/>
      <c r="C6" s="316" t="s">
        <v>109</v>
      </c>
      <c r="D6" s="303"/>
      <c r="E6" s="303"/>
      <c r="F6" s="84"/>
      <c r="G6" s="304" t="s">
        <v>123</v>
      </c>
      <c r="H6" s="305"/>
      <c r="I6" s="305"/>
      <c r="J6" s="92"/>
      <c r="K6" s="306" t="s">
        <v>111</v>
      </c>
      <c r="L6" s="307"/>
      <c r="M6" s="307"/>
      <c r="N6" s="93"/>
      <c r="O6" s="306" t="s">
        <v>115</v>
      </c>
      <c r="P6" s="307"/>
      <c r="Q6" s="307"/>
      <c r="R6" s="93"/>
      <c r="S6" s="304" t="s">
        <v>124</v>
      </c>
      <c r="T6" s="305"/>
      <c r="U6" s="305"/>
      <c r="V6" s="92"/>
      <c r="W6" s="304" t="s">
        <v>84</v>
      </c>
      <c r="X6" s="305"/>
      <c r="Y6" s="305"/>
      <c r="Z6" s="93"/>
      <c r="AA6" s="298"/>
      <c r="AB6" s="301"/>
      <c r="AD6" s="180" t="s">
        <v>91</v>
      </c>
      <c r="AE6" s="181" t="str">
        <f>B3</f>
        <v>Juni</v>
      </c>
      <c r="AF6" s="181" t="s">
        <v>63</v>
      </c>
      <c r="AG6" s="169" t="str">
        <f>B4</f>
        <v>Tanggal</v>
      </c>
      <c r="AH6" s="170"/>
      <c r="AI6" s="98"/>
      <c r="AJ6" s="296" t="s">
        <v>93</v>
      </c>
      <c r="AK6" s="296"/>
      <c r="AL6" s="296"/>
      <c r="AM6" s="296"/>
      <c r="AN6" s="296"/>
      <c r="AO6" s="296"/>
      <c r="AP6" s="296"/>
      <c r="AQ6" s="296"/>
    </row>
    <row r="7" spans="1:43" s="191" customFormat="1" ht="120.75" customHeight="1" thickBot="1" x14ac:dyDescent="0.3">
      <c r="A7" s="312"/>
      <c r="B7" s="315"/>
      <c r="C7" s="184" t="s">
        <v>85</v>
      </c>
      <c r="D7" s="182" t="s">
        <v>108</v>
      </c>
      <c r="E7" s="183" t="s">
        <v>145</v>
      </c>
      <c r="F7" s="85" t="s">
        <v>131</v>
      </c>
      <c r="G7" s="184" t="s">
        <v>85</v>
      </c>
      <c r="H7" s="182" t="s">
        <v>108</v>
      </c>
      <c r="I7" s="183" t="s">
        <v>145</v>
      </c>
      <c r="J7" s="85" t="s">
        <v>131</v>
      </c>
      <c r="K7" s="184" t="s">
        <v>85</v>
      </c>
      <c r="L7" s="182" t="s">
        <v>108</v>
      </c>
      <c r="M7" s="183" t="s">
        <v>145</v>
      </c>
      <c r="N7" s="85" t="s">
        <v>131</v>
      </c>
      <c r="O7" s="184" t="s">
        <v>85</v>
      </c>
      <c r="P7" s="182" t="s">
        <v>108</v>
      </c>
      <c r="Q7" s="183" t="s">
        <v>145</v>
      </c>
      <c r="R7" s="85" t="s">
        <v>131</v>
      </c>
      <c r="S7" s="184" t="s">
        <v>85</v>
      </c>
      <c r="T7" s="182" t="s">
        <v>108</v>
      </c>
      <c r="U7" s="183" t="s">
        <v>145</v>
      </c>
      <c r="V7" s="85" t="s">
        <v>131</v>
      </c>
      <c r="W7" s="184" t="s">
        <v>85</v>
      </c>
      <c r="X7" s="182" t="s">
        <v>108</v>
      </c>
      <c r="Y7" s="183" t="s">
        <v>145</v>
      </c>
      <c r="Z7" s="85" t="s">
        <v>131</v>
      </c>
      <c r="AA7" s="299"/>
      <c r="AB7" s="302"/>
      <c r="AC7" s="185"/>
      <c r="AD7" s="186" t="s">
        <v>90</v>
      </c>
      <c r="AE7" s="187" t="s">
        <v>87</v>
      </c>
      <c r="AF7" s="188" t="s">
        <v>92</v>
      </c>
      <c r="AG7" s="188" t="s">
        <v>110</v>
      </c>
      <c r="AH7" s="188" t="s">
        <v>101</v>
      </c>
      <c r="AI7" s="185"/>
      <c r="AJ7" s="189" t="s">
        <v>90</v>
      </c>
      <c r="AK7" s="189" t="s">
        <v>87</v>
      </c>
      <c r="AL7" s="190" t="s">
        <v>40</v>
      </c>
      <c r="AM7" s="190" t="s">
        <v>60</v>
      </c>
      <c r="AN7" s="190" t="s">
        <v>38</v>
      </c>
      <c r="AO7" s="190" t="s">
        <v>39</v>
      </c>
      <c r="AP7" s="190" t="s">
        <v>103</v>
      </c>
      <c r="AQ7" s="190" t="s">
        <v>102</v>
      </c>
    </row>
    <row r="8" spans="1:43" x14ac:dyDescent="0.25">
      <c r="A8" s="154">
        <v>1</v>
      </c>
      <c r="B8" s="155" t="s">
        <v>4</v>
      </c>
      <c r="C8" s="257">
        <f>[8]Juni!C8+[3]Juni!J6</f>
        <v>50</v>
      </c>
      <c r="D8" s="258">
        <v>1</v>
      </c>
      <c r="E8" s="258"/>
      <c r="F8" s="86">
        <f t="shared" ref="F8:F38" si="0">SUM(C8:E8)</f>
        <v>51</v>
      </c>
      <c r="G8" s="257">
        <f>[8]Juni!G8+[3]Juni!Q6</f>
        <v>0</v>
      </c>
      <c r="H8" s="258"/>
      <c r="I8" s="258"/>
      <c r="J8" s="86">
        <f t="shared" ref="J8:J38" si="1">SUM(G8:I8)</f>
        <v>0</v>
      </c>
      <c r="K8" s="257">
        <v>2.1</v>
      </c>
      <c r="L8" s="258">
        <v>4.7</v>
      </c>
      <c r="M8" s="258"/>
      <c r="N8" s="86">
        <f t="shared" ref="N8:N38" si="2">SUM(K8:M8)</f>
        <v>6.8000000000000007</v>
      </c>
      <c r="O8" s="257">
        <f>[8]Juni!O8+[3]Juni!X6</f>
        <v>0</v>
      </c>
      <c r="P8" s="258"/>
      <c r="Q8" s="258"/>
      <c r="R8" s="86">
        <f t="shared" ref="R8:R38" si="3">SUM(O8:Q8)</f>
        <v>0</v>
      </c>
      <c r="S8" s="261">
        <v>0</v>
      </c>
      <c r="T8" s="258"/>
      <c r="U8" s="258"/>
      <c r="V8" s="86">
        <f t="shared" ref="V8:V38" si="4">SUM(S8:U8)</f>
        <v>0</v>
      </c>
      <c r="W8" s="257">
        <v>0</v>
      </c>
      <c r="X8" s="258"/>
      <c r="Y8" s="258"/>
      <c r="Z8" s="86">
        <f t="shared" ref="Z8:Z38" si="5">SUM(W8:Y8)</f>
        <v>0</v>
      </c>
      <c r="AA8" s="94">
        <f>(F8+J8+N8+R8+V8+Z8)</f>
        <v>57.8</v>
      </c>
      <c r="AB8" s="95" t="s">
        <v>53</v>
      </c>
      <c r="AC8" s="138"/>
      <c r="AD8" s="139">
        <v>1</v>
      </c>
      <c r="AE8" s="140" t="s">
        <v>4</v>
      </c>
      <c r="AF8" s="141">
        <f t="shared" ref="AF8:AG16" si="6">(C8+G8+K8+O8+S8+W8)</f>
        <v>52.1</v>
      </c>
      <c r="AG8" s="141">
        <f t="shared" si="6"/>
        <v>5.7</v>
      </c>
      <c r="AH8" s="141">
        <f t="shared" ref="AH8:AH16" si="7">(E8+I8+M8+Q8++U8+Y8)</f>
        <v>0</v>
      </c>
      <c r="AI8" s="108"/>
      <c r="AJ8" s="142">
        <v>1</v>
      </c>
      <c r="AK8" s="143" t="s">
        <v>4</v>
      </c>
      <c r="AL8" s="144">
        <f t="shared" ref="AL8:AL38" si="8">AF8</f>
        <v>52.1</v>
      </c>
      <c r="AM8" s="145">
        <f t="shared" ref="AM8:AM38" si="9">AL8/AA8</f>
        <v>0.90138408304498274</v>
      </c>
      <c r="AN8" s="144">
        <f>AG8</f>
        <v>5.7</v>
      </c>
      <c r="AO8" s="145">
        <f t="shared" ref="AO8:AO38" si="10">AN8/AA8</f>
        <v>9.8615916955017313E-2</v>
      </c>
      <c r="AP8" s="144">
        <f>AH8</f>
        <v>0</v>
      </c>
      <c r="AQ8" s="145">
        <f t="shared" ref="AQ8:AQ38" si="11">AP8/AA8</f>
        <v>0</v>
      </c>
    </row>
    <row r="9" spans="1:43" x14ac:dyDescent="0.25">
      <c r="A9" s="156">
        <v>2</v>
      </c>
      <c r="B9" s="157" t="s">
        <v>5</v>
      </c>
      <c r="C9" s="259">
        <f>[8]Juni!C9+[3]Juni!J7</f>
        <v>2.5</v>
      </c>
      <c r="D9" s="260">
        <v>23.3</v>
      </c>
      <c r="E9" s="260"/>
      <c r="F9" s="87">
        <f t="shared" si="0"/>
        <v>25.8</v>
      </c>
      <c r="G9" s="259">
        <f>[8]Juni!G9+[3]Juni!Q7</f>
        <v>52.8</v>
      </c>
      <c r="H9" s="260">
        <f>27.1+2</f>
        <v>29.1</v>
      </c>
      <c r="I9" s="260"/>
      <c r="J9" s="87">
        <f t="shared" si="1"/>
        <v>81.900000000000006</v>
      </c>
      <c r="K9" s="259">
        <f>1.9+50</f>
        <v>51.9</v>
      </c>
      <c r="L9" s="260">
        <v>4.5999999999999996</v>
      </c>
      <c r="M9" s="260"/>
      <c r="N9" s="87">
        <f t="shared" si="2"/>
        <v>56.5</v>
      </c>
      <c r="O9" s="259">
        <f>[8]Juni!O9+[3]Juni!X7</f>
        <v>51.8</v>
      </c>
      <c r="P9" s="260">
        <f>17+1</f>
        <v>18</v>
      </c>
      <c r="Q9" s="260"/>
      <c r="R9" s="87">
        <f t="shared" si="3"/>
        <v>69.8</v>
      </c>
      <c r="S9" s="261">
        <v>0</v>
      </c>
      <c r="T9" s="260">
        <f>13+1</f>
        <v>14</v>
      </c>
      <c r="U9" s="260"/>
      <c r="V9" s="87">
        <f t="shared" si="4"/>
        <v>14</v>
      </c>
      <c r="W9" s="257">
        <v>0</v>
      </c>
      <c r="X9" s="260">
        <v>32</v>
      </c>
      <c r="Y9" s="260"/>
      <c r="Z9" s="87">
        <f t="shared" si="5"/>
        <v>32</v>
      </c>
      <c r="AA9" s="94">
        <f t="shared" ref="AA9:AA38" si="12">(F9+J9+N9+R9+V9+Z9)</f>
        <v>280</v>
      </c>
      <c r="AB9" s="96" t="s">
        <v>53</v>
      </c>
      <c r="AC9" s="138"/>
      <c r="AD9" s="146">
        <v>2</v>
      </c>
      <c r="AE9" s="147" t="s">
        <v>5</v>
      </c>
      <c r="AF9" s="141">
        <f t="shared" si="6"/>
        <v>159</v>
      </c>
      <c r="AG9" s="141">
        <f t="shared" si="6"/>
        <v>121</v>
      </c>
      <c r="AH9" s="141">
        <f t="shared" si="7"/>
        <v>0</v>
      </c>
      <c r="AI9" s="108"/>
      <c r="AJ9" s="148">
        <v>2</v>
      </c>
      <c r="AK9" s="149" t="s">
        <v>5</v>
      </c>
      <c r="AL9" s="144">
        <f t="shared" si="8"/>
        <v>159</v>
      </c>
      <c r="AM9" s="145">
        <f t="shared" si="9"/>
        <v>0.56785714285714284</v>
      </c>
      <c r="AN9" s="144">
        <f t="shared" ref="AN9:AN38" si="13">AG9</f>
        <v>121</v>
      </c>
      <c r="AO9" s="145">
        <f t="shared" si="10"/>
        <v>0.43214285714285716</v>
      </c>
      <c r="AP9" s="144">
        <f t="shared" ref="AP9:AP38" si="14">AH9</f>
        <v>0</v>
      </c>
      <c r="AQ9" s="145">
        <f t="shared" si="11"/>
        <v>0</v>
      </c>
    </row>
    <row r="10" spans="1:43" x14ac:dyDescent="0.25">
      <c r="A10" s="156">
        <v>3</v>
      </c>
      <c r="B10" s="157" t="s">
        <v>6</v>
      </c>
      <c r="C10" s="259">
        <f>[8]Juni!C10+[3]Juni!J8</f>
        <v>51.5</v>
      </c>
      <c r="D10" s="260">
        <f>21+1</f>
        <v>22</v>
      </c>
      <c r="E10" s="260"/>
      <c r="F10" s="87">
        <f t="shared" si="0"/>
        <v>73.5</v>
      </c>
      <c r="G10" s="259">
        <f>[8]Juni!G10+[3]Juni!Q8</f>
        <v>2.2999999999999998</v>
      </c>
      <c r="H10" s="260">
        <v>25.8</v>
      </c>
      <c r="I10" s="260"/>
      <c r="J10" s="87">
        <f t="shared" si="1"/>
        <v>28.1</v>
      </c>
      <c r="K10" s="259">
        <f>2.5+50</f>
        <v>52.5</v>
      </c>
      <c r="L10" s="260">
        <v>5</v>
      </c>
      <c r="M10" s="260"/>
      <c r="N10" s="87">
        <f t="shared" si="2"/>
        <v>57.5</v>
      </c>
      <c r="O10" s="259">
        <f>[8]Juni!O10+[3]Juni!X8</f>
        <v>1.6</v>
      </c>
      <c r="P10" s="260">
        <v>16.600000000000001</v>
      </c>
      <c r="Q10" s="260"/>
      <c r="R10" s="87">
        <f t="shared" si="3"/>
        <v>18.200000000000003</v>
      </c>
      <c r="S10" s="261">
        <v>0</v>
      </c>
      <c r="T10" s="260">
        <f>12+2</f>
        <v>14</v>
      </c>
      <c r="U10" s="260"/>
      <c r="V10" s="87">
        <f t="shared" si="4"/>
        <v>14</v>
      </c>
      <c r="W10" s="257">
        <v>0</v>
      </c>
      <c r="X10" s="260">
        <v>32</v>
      </c>
      <c r="Y10" s="260"/>
      <c r="Z10" s="87">
        <f t="shared" si="5"/>
        <v>32</v>
      </c>
      <c r="AA10" s="94">
        <f t="shared" si="12"/>
        <v>223.3</v>
      </c>
      <c r="AB10" s="96" t="s">
        <v>53</v>
      </c>
      <c r="AC10" s="138"/>
      <c r="AD10" s="146">
        <v>3</v>
      </c>
      <c r="AE10" s="147" t="s">
        <v>6</v>
      </c>
      <c r="AF10" s="141">
        <f t="shared" si="6"/>
        <v>107.89999999999999</v>
      </c>
      <c r="AG10" s="141">
        <f t="shared" si="6"/>
        <v>115.4</v>
      </c>
      <c r="AH10" s="141">
        <f t="shared" si="7"/>
        <v>0</v>
      </c>
      <c r="AI10" s="108"/>
      <c r="AJ10" s="148">
        <v>3</v>
      </c>
      <c r="AK10" s="149" t="s">
        <v>6</v>
      </c>
      <c r="AL10" s="144">
        <f t="shared" si="8"/>
        <v>107.89999999999999</v>
      </c>
      <c r="AM10" s="145">
        <f t="shared" si="9"/>
        <v>0.48320644872369006</v>
      </c>
      <c r="AN10" s="144">
        <f t="shared" si="13"/>
        <v>115.4</v>
      </c>
      <c r="AO10" s="145">
        <f t="shared" si="10"/>
        <v>0.51679355127630988</v>
      </c>
      <c r="AP10" s="144">
        <f t="shared" si="14"/>
        <v>0</v>
      </c>
      <c r="AQ10" s="145">
        <f t="shared" si="11"/>
        <v>0</v>
      </c>
    </row>
    <row r="11" spans="1:43" x14ac:dyDescent="0.25">
      <c r="A11" s="156">
        <v>4</v>
      </c>
      <c r="B11" s="157" t="s">
        <v>7</v>
      </c>
      <c r="C11" s="259">
        <f>[8]Juni!C11+[3]Juni!J9</f>
        <v>2.1</v>
      </c>
      <c r="D11" s="260">
        <v>22</v>
      </c>
      <c r="E11" s="260"/>
      <c r="F11" s="87">
        <f t="shared" si="0"/>
        <v>24.1</v>
      </c>
      <c r="G11" s="259">
        <f>[8]Juni!G11+[3]Juni!Q9</f>
        <v>52.6</v>
      </c>
      <c r="H11" s="260">
        <f>26.2+1</f>
        <v>27.2</v>
      </c>
      <c r="I11" s="260"/>
      <c r="J11" s="87">
        <f t="shared" si="1"/>
        <v>79.8</v>
      </c>
      <c r="K11" s="259">
        <v>1.8</v>
      </c>
      <c r="L11" s="260">
        <v>4.8</v>
      </c>
      <c r="M11" s="260"/>
      <c r="N11" s="87">
        <f t="shared" si="2"/>
        <v>6.6</v>
      </c>
      <c r="O11" s="259">
        <f>[8]Juni!O11+[3]Juni!X9</f>
        <v>51.7</v>
      </c>
      <c r="P11" s="260">
        <f>16.9+2</f>
        <v>18.899999999999999</v>
      </c>
      <c r="Q11" s="260"/>
      <c r="R11" s="87">
        <f t="shared" si="3"/>
        <v>70.599999999999994</v>
      </c>
      <c r="S11" s="261">
        <v>0</v>
      </c>
      <c r="T11" s="260">
        <v>12</v>
      </c>
      <c r="U11" s="260"/>
      <c r="V11" s="87">
        <f t="shared" si="4"/>
        <v>12</v>
      </c>
      <c r="W11" s="257">
        <v>10</v>
      </c>
      <c r="X11" s="260">
        <f>32+2</f>
        <v>34</v>
      </c>
      <c r="Y11" s="260"/>
      <c r="Z11" s="87">
        <f t="shared" si="5"/>
        <v>44</v>
      </c>
      <c r="AA11" s="94">
        <f t="shared" si="12"/>
        <v>237.1</v>
      </c>
      <c r="AB11" s="96" t="s">
        <v>53</v>
      </c>
      <c r="AC11" s="138"/>
      <c r="AD11" s="146">
        <v>4</v>
      </c>
      <c r="AE11" s="147" t="s">
        <v>7</v>
      </c>
      <c r="AF11" s="141">
        <f t="shared" si="6"/>
        <v>118.2</v>
      </c>
      <c r="AG11" s="141">
        <f t="shared" si="6"/>
        <v>118.9</v>
      </c>
      <c r="AH11" s="141">
        <f t="shared" si="7"/>
        <v>0</v>
      </c>
      <c r="AI11" s="108"/>
      <c r="AJ11" s="148">
        <v>4</v>
      </c>
      <c r="AK11" s="149" t="s">
        <v>7</v>
      </c>
      <c r="AL11" s="144">
        <f t="shared" si="8"/>
        <v>118.2</v>
      </c>
      <c r="AM11" s="145">
        <f t="shared" si="9"/>
        <v>0.49852382960776048</v>
      </c>
      <c r="AN11" s="144">
        <f t="shared" si="13"/>
        <v>118.9</v>
      </c>
      <c r="AO11" s="145">
        <f t="shared" si="10"/>
        <v>0.50147617039223957</v>
      </c>
      <c r="AP11" s="144">
        <f t="shared" si="14"/>
        <v>0</v>
      </c>
      <c r="AQ11" s="145">
        <f t="shared" si="11"/>
        <v>0</v>
      </c>
    </row>
    <row r="12" spans="1:43" x14ac:dyDescent="0.25">
      <c r="A12" s="156">
        <v>5</v>
      </c>
      <c r="B12" s="157" t="s">
        <v>8</v>
      </c>
      <c r="C12" s="259">
        <f>[8]Juni!C12+[3]Juni!J10</f>
        <v>52.4</v>
      </c>
      <c r="D12" s="260">
        <f>20.5+2</f>
        <v>22.5</v>
      </c>
      <c r="E12" s="260"/>
      <c r="F12" s="87">
        <f t="shared" si="0"/>
        <v>74.900000000000006</v>
      </c>
      <c r="G12" s="259">
        <f>[8]Juni!G12+[3]Juni!Q10</f>
        <v>2.1</v>
      </c>
      <c r="H12" s="260">
        <v>26</v>
      </c>
      <c r="I12" s="260"/>
      <c r="J12" s="87">
        <f t="shared" si="1"/>
        <v>28.1</v>
      </c>
      <c r="K12" s="259">
        <f>1.6+50</f>
        <v>51.6</v>
      </c>
      <c r="L12" s="260">
        <v>4.9000000000000004</v>
      </c>
      <c r="M12" s="260"/>
      <c r="N12" s="87">
        <f t="shared" si="2"/>
        <v>56.5</v>
      </c>
      <c r="O12" s="259">
        <f>[8]Juni!O12+[3]Juni!X10</f>
        <v>51.5</v>
      </c>
      <c r="P12" s="260">
        <f>16.8+1</f>
        <v>17.8</v>
      </c>
      <c r="Q12" s="260"/>
      <c r="R12" s="87">
        <f t="shared" si="3"/>
        <v>69.3</v>
      </c>
      <c r="S12" s="261">
        <v>0</v>
      </c>
      <c r="T12" s="260">
        <f>12+4</f>
        <v>16</v>
      </c>
      <c r="U12" s="260"/>
      <c r="V12" s="87">
        <f t="shared" si="4"/>
        <v>16</v>
      </c>
      <c r="W12" s="257">
        <v>0</v>
      </c>
      <c r="X12" s="260">
        <v>32</v>
      </c>
      <c r="Y12" s="260"/>
      <c r="Z12" s="87">
        <f t="shared" si="5"/>
        <v>32</v>
      </c>
      <c r="AA12" s="94">
        <f t="shared" si="12"/>
        <v>276.8</v>
      </c>
      <c r="AB12" s="96" t="s">
        <v>53</v>
      </c>
      <c r="AC12" s="138"/>
      <c r="AD12" s="146">
        <v>5</v>
      </c>
      <c r="AE12" s="147" t="s">
        <v>8</v>
      </c>
      <c r="AF12" s="141">
        <f t="shared" si="6"/>
        <v>157.6</v>
      </c>
      <c r="AG12" s="141">
        <f t="shared" si="6"/>
        <v>119.2</v>
      </c>
      <c r="AH12" s="141">
        <f t="shared" si="7"/>
        <v>0</v>
      </c>
      <c r="AI12" s="108"/>
      <c r="AJ12" s="148">
        <v>5</v>
      </c>
      <c r="AK12" s="149" t="s">
        <v>8</v>
      </c>
      <c r="AL12" s="144">
        <f t="shared" si="8"/>
        <v>157.6</v>
      </c>
      <c r="AM12" s="145">
        <f t="shared" si="9"/>
        <v>0.56936416184971095</v>
      </c>
      <c r="AN12" s="144">
        <f t="shared" si="13"/>
        <v>119.2</v>
      </c>
      <c r="AO12" s="145">
        <f t="shared" si="10"/>
        <v>0.430635838150289</v>
      </c>
      <c r="AP12" s="144">
        <f t="shared" si="14"/>
        <v>0</v>
      </c>
      <c r="AQ12" s="145">
        <f t="shared" si="11"/>
        <v>0</v>
      </c>
    </row>
    <row r="13" spans="1:43" x14ac:dyDescent="0.25">
      <c r="A13" s="156">
        <v>6</v>
      </c>
      <c r="B13" s="157" t="s">
        <v>9</v>
      </c>
      <c r="C13" s="259">
        <f>[8]Juni!C13+[3]Juni!J11</f>
        <v>0</v>
      </c>
      <c r="D13" s="260"/>
      <c r="E13" s="260"/>
      <c r="F13" s="87">
        <f t="shared" si="0"/>
        <v>0</v>
      </c>
      <c r="G13" s="259">
        <f>[8]Juni!G13+[3]Juni!Q11</f>
        <v>0</v>
      </c>
      <c r="H13" s="260"/>
      <c r="I13" s="260"/>
      <c r="J13" s="87">
        <f t="shared" si="1"/>
        <v>0</v>
      </c>
      <c r="K13" s="259">
        <v>1.4</v>
      </c>
      <c r="L13" s="260">
        <v>4.9000000000000004</v>
      </c>
      <c r="M13" s="260"/>
      <c r="N13" s="87">
        <f t="shared" si="2"/>
        <v>6.3000000000000007</v>
      </c>
      <c r="O13" s="259">
        <f>[8]Juni!O13+[3]Juni!X11</f>
        <v>0</v>
      </c>
      <c r="P13" s="260"/>
      <c r="Q13" s="260"/>
      <c r="R13" s="87">
        <f t="shared" si="3"/>
        <v>0</v>
      </c>
      <c r="S13" s="261">
        <v>0</v>
      </c>
      <c r="T13" s="260"/>
      <c r="U13" s="260"/>
      <c r="V13" s="87">
        <f t="shared" si="4"/>
        <v>0</v>
      </c>
      <c r="W13" s="257">
        <v>0</v>
      </c>
      <c r="X13" s="260"/>
      <c r="Y13" s="260"/>
      <c r="Z13" s="87">
        <f t="shared" si="5"/>
        <v>0</v>
      </c>
      <c r="AA13" s="94">
        <f t="shared" si="12"/>
        <v>6.3000000000000007</v>
      </c>
      <c r="AB13" s="96" t="s">
        <v>53</v>
      </c>
      <c r="AC13" s="138"/>
      <c r="AD13" s="146">
        <v>6</v>
      </c>
      <c r="AE13" s="147" t="s">
        <v>9</v>
      </c>
      <c r="AF13" s="141">
        <f t="shared" si="6"/>
        <v>1.4</v>
      </c>
      <c r="AG13" s="141">
        <f t="shared" si="6"/>
        <v>4.9000000000000004</v>
      </c>
      <c r="AH13" s="141">
        <f t="shared" si="7"/>
        <v>0</v>
      </c>
      <c r="AI13" s="108"/>
      <c r="AJ13" s="148">
        <v>6</v>
      </c>
      <c r="AK13" s="149" t="s">
        <v>9</v>
      </c>
      <c r="AL13" s="144">
        <f t="shared" si="8"/>
        <v>1.4</v>
      </c>
      <c r="AM13" s="145">
        <f t="shared" si="9"/>
        <v>0.22222222222222218</v>
      </c>
      <c r="AN13" s="144">
        <f t="shared" si="13"/>
        <v>4.9000000000000004</v>
      </c>
      <c r="AO13" s="145">
        <f t="shared" si="10"/>
        <v>0.77777777777777779</v>
      </c>
      <c r="AP13" s="144">
        <f t="shared" si="14"/>
        <v>0</v>
      </c>
      <c r="AQ13" s="145">
        <f t="shared" si="11"/>
        <v>0</v>
      </c>
    </row>
    <row r="14" spans="1:43" x14ac:dyDescent="0.25">
      <c r="A14" s="156">
        <v>7</v>
      </c>
      <c r="B14" s="157" t="s">
        <v>10</v>
      </c>
      <c r="C14" s="259">
        <f>[8]Juni!C14+[3]Juni!J12</f>
        <v>0</v>
      </c>
      <c r="D14" s="260">
        <v>17</v>
      </c>
      <c r="E14" s="260"/>
      <c r="F14" s="87">
        <f t="shared" si="0"/>
        <v>17</v>
      </c>
      <c r="G14" s="259">
        <f>[8]Juni!G14+[3]Juni!Q12</f>
        <v>52.1</v>
      </c>
      <c r="H14" s="260">
        <f>26.4+1</f>
        <v>27.4</v>
      </c>
      <c r="I14" s="260"/>
      <c r="J14" s="87">
        <f t="shared" si="1"/>
        <v>79.5</v>
      </c>
      <c r="K14" s="259">
        <f>1.4+50</f>
        <v>51.4</v>
      </c>
      <c r="L14" s="260">
        <v>5.3</v>
      </c>
      <c r="M14" s="260"/>
      <c r="N14" s="87">
        <f t="shared" si="2"/>
        <v>56.699999999999996</v>
      </c>
      <c r="O14" s="259">
        <f>[8]Juni!O14+[3]Juni!X12</f>
        <v>50</v>
      </c>
      <c r="P14" s="260">
        <f>12+1</f>
        <v>13</v>
      </c>
      <c r="Q14" s="260"/>
      <c r="R14" s="87">
        <f t="shared" si="3"/>
        <v>63</v>
      </c>
      <c r="S14" s="261">
        <v>0</v>
      </c>
      <c r="T14" s="260">
        <f>12+2</f>
        <v>14</v>
      </c>
      <c r="U14" s="260"/>
      <c r="V14" s="87">
        <f t="shared" si="4"/>
        <v>14</v>
      </c>
      <c r="W14" s="257">
        <v>10</v>
      </c>
      <c r="X14" s="260">
        <f>32+1</f>
        <v>33</v>
      </c>
      <c r="Y14" s="260"/>
      <c r="Z14" s="87">
        <f t="shared" si="5"/>
        <v>43</v>
      </c>
      <c r="AA14" s="94">
        <f t="shared" si="12"/>
        <v>273.2</v>
      </c>
      <c r="AB14" s="96" t="s">
        <v>53</v>
      </c>
      <c r="AC14" s="138"/>
      <c r="AD14" s="146">
        <v>7</v>
      </c>
      <c r="AE14" s="147" t="s">
        <v>10</v>
      </c>
      <c r="AF14" s="141">
        <f t="shared" si="6"/>
        <v>163.5</v>
      </c>
      <c r="AG14" s="141">
        <f t="shared" si="6"/>
        <v>109.69999999999999</v>
      </c>
      <c r="AH14" s="141">
        <f t="shared" si="7"/>
        <v>0</v>
      </c>
      <c r="AI14" s="108"/>
      <c r="AJ14" s="148">
        <v>7</v>
      </c>
      <c r="AK14" s="149" t="s">
        <v>10</v>
      </c>
      <c r="AL14" s="144">
        <f t="shared" si="8"/>
        <v>163.5</v>
      </c>
      <c r="AM14" s="145">
        <f t="shared" si="9"/>
        <v>0.59846266471449494</v>
      </c>
      <c r="AN14" s="144">
        <f t="shared" si="13"/>
        <v>109.69999999999999</v>
      </c>
      <c r="AO14" s="145">
        <f t="shared" si="10"/>
        <v>0.40153733528550511</v>
      </c>
      <c r="AP14" s="144">
        <f t="shared" si="14"/>
        <v>0</v>
      </c>
      <c r="AQ14" s="145">
        <f t="shared" si="11"/>
        <v>0</v>
      </c>
    </row>
    <row r="15" spans="1:43" x14ac:dyDescent="0.25">
      <c r="A15" s="156">
        <v>8</v>
      </c>
      <c r="B15" s="157" t="s">
        <v>11</v>
      </c>
      <c r="C15" s="259">
        <f>[8]Juni!C15+[3]Juni!J13</f>
        <v>0</v>
      </c>
      <c r="D15" s="260"/>
      <c r="E15" s="260"/>
      <c r="F15" s="87">
        <f t="shared" si="0"/>
        <v>0</v>
      </c>
      <c r="G15" s="259">
        <f>[8]Juni!G15+[3]Juni!Q13</f>
        <v>2.8</v>
      </c>
      <c r="H15" s="260">
        <v>4.5999999999999996</v>
      </c>
      <c r="I15" s="260"/>
      <c r="J15" s="87">
        <f t="shared" si="1"/>
        <v>7.3999999999999995</v>
      </c>
      <c r="K15" s="259">
        <v>2.2999999999999998</v>
      </c>
      <c r="L15" s="260">
        <v>5.8</v>
      </c>
      <c r="M15" s="260"/>
      <c r="N15" s="87">
        <f t="shared" si="2"/>
        <v>8.1</v>
      </c>
      <c r="O15" s="259">
        <f>[8]Juni!O15+[3]Juni!X13</f>
        <v>0</v>
      </c>
      <c r="P15" s="260"/>
      <c r="Q15" s="260"/>
      <c r="R15" s="87">
        <f t="shared" si="3"/>
        <v>0</v>
      </c>
      <c r="S15" s="261">
        <v>0</v>
      </c>
      <c r="T15" s="260"/>
      <c r="U15" s="260"/>
      <c r="V15" s="87">
        <f t="shared" si="4"/>
        <v>0</v>
      </c>
      <c r="W15" s="257">
        <v>0</v>
      </c>
      <c r="X15" s="260"/>
      <c r="Y15" s="260"/>
      <c r="Z15" s="87">
        <f t="shared" si="5"/>
        <v>0</v>
      </c>
      <c r="AA15" s="94">
        <f t="shared" si="12"/>
        <v>15.5</v>
      </c>
      <c r="AB15" s="96" t="s">
        <v>53</v>
      </c>
      <c r="AC15" s="138"/>
      <c r="AD15" s="146">
        <v>8</v>
      </c>
      <c r="AE15" s="147" t="s">
        <v>11</v>
      </c>
      <c r="AF15" s="141">
        <f t="shared" si="6"/>
        <v>5.0999999999999996</v>
      </c>
      <c r="AG15" s="141">
        <f t="shared" si="6"/>
        <v>10.399999999999999</v>
      </c>
      <c r="AH15" s="141">
        <f t="shared" si="7"/>
        <v>0</v>
      </c>
      <c r="AI15" s="108"/>
      <c r="AJ15" s="148">
        <v>8</v>
      </c>
      <c r="AK15" s="149" t="s">
        <v>11</v>
      </c>
      <c r="AL15" s="144">
        <f t="shared" si="8"/>
        <v>5.0999999999999996</v>
      </c>
      <c r="AM15" s="145">
        <f t="shared" si="9"/>
        <v>0.32903225806451608</v>
      </c>
      <c r="AN15" s="144">
        <f t="shared" si="13"/>
        <v>10.399999999999999</v>
      </c>
      <c r="AO15" s="145">
        <f t="shared" si="10"/>
        <v>0.67096774193548381</v>
      </c>
      <c r="AP15" s="144">
        <f t="shared" si="14"/>
        <v>0</v>
      </c>
      <c r="AQ15" s="145">
        <f t="shared" si="11"/>
        <v>0</v>
      </c>
    </row>
    <row r="16" spans="1:43" x14ac:dyDescent="0.25">
      <c r="A16" s="156">
        <v>9</v>
      </c>
      <c r="B16" s="157" t="s">
        <v>12</v>
      </c>
      <c r="C16" s="259">
        <f>[8]Juni!C16+[3]Juni!J14</f>
        <v>0</v>
      </c>
      <c r="D16" s="260">
        <v>17</v>
      </c>
      <c r="E16" s="260"/>
      <c r="F16" s="87">
        <f t="shared" si="0"/>
        <v>17</v>
      </c>
      <c r="G16" s="259">
        <f>[8]Juni!G16+[3]Juni!Q14</f>
        <v>1.5</v>
      </c>
      <c r="H16" s="260">
        <v>26.2</v>
      </c>
      <c r="I16" s="260"/>
      <c r="J16" s="87">
        <f t="shared" si="1"/>
        <v>27.7</v>
      </c>
      <c r="K16" s="259">
        <v>1.9</v>
      </c>
      <c r="L16" s="260">
        <v>5.6</v>
      </c>
      <c r="M16" s="260"/>
      <c r="N16" s="87">
        <f t="shared" si="2"/>
        <v>7.5</v>
      </c>
      <c r="O16" s="259">
        <f>[8]Juni!O16+[3]Juni!X14</f>
        <v>0</v>
      </c>
      <c r="P16" s="260">
        <v>12</v>
      </c>
      <c r="Q16" s="260"/>
      <c r="R16" s="87">
        <f t="shared" si="3"/>
        <v>12</v>
      </c>
      <c r="S16" s="261">
        <v>0</v>
      </c>
      <c r="T16" s="260">
        <v>12</v>
      </c>
      <c r="U16" s="260"/>
      <c r="V16" s="87">
        <f t="shared" si="4"/>
        <v>12</v>
      </c>
      <c r="W16" s="257">
        <v>0</v>
      </c>
      <c r="X16" s="260">
        <v>32</v>
      </c>
      <c r="Y16" s="260"/>
      <c r="Z16" s="87">
        <f t="shared" si="5"/>
        <v>32</v>
      </c>
      <c r="AA16" s="94">
        <f t="shared" si="12"/>
        <v>108.2</v>
      </c>
      <c r="AB16" s="96" t="s">
        <v>53</v>
      </c>
      <c r="AC16" s="138"/>
      <c r="AD16" s="146">
        <v>9</v>
      </c>
      <c r="AE16" s="147" t="s">
        <v>12</v>
      </c>
      <c r="AF16" s="141">
        <f t="shared" si="6"/>
        <v>3.4</v>
      </c>
      <c r="AG16" s="141">
        <f t="shared" si="6"/>
        <v>104.80000000000001</v>
      </c>
      <c r="AH16" s="141">
        <f t="shared" si="7"/>
        <v>0</v>
      </c>
      <c r="AI16" s="108"/>
      <c r="AJ16" s="148">
        <v>9</v>
      </c>
      <c r="AK16" s="149" t="s">
        <v>12</v>
      </c>
      <c r="AL16" s="144">
        <f t="shared" si="8"/>
        <v>3.4</v>
      </c>
      <c r="AM16" s="145">
        <f t="shared" si="9"/>
        <v>3.1423290203327167E-2</v>
      </c>
      <c r="AN16" s="144">
        <f t="shared" si="13"/>
        <v>104.80000000000001</v>
      </c>
      <c r="AO16" s="145">
        <f t="shared" si="10"/>
        <v>0.96857670979667287</v>
      </c>
      <c r="AP16" s="144">
        <f t="shared" si="14"/>
        <v>0</v>
      </c>
      <c r="AQ16" s="145">
        <f t="shared" si="11"/>
        <v>0</v>
      </c>
    </row>
    <row r="17" spans="1:43" x14ac:dyDescent="0.25">
      <c r="A17" s="156">
        <v>10</v>
      </c>
      <c r="B17" s="157" t="s">
        <v>13</v>
      </c>
      <c r="C17" s="259">
        <f>[8]Juni!C17+[3]Juni!J15</f>
        <v>52.1</v>
      </c>
      <c r="D17" s="260">
        <f>21+2</f>
        <v>23</v>
      </c>
      <c r="E17" s="260"/>
      <c r="F17" s="87">
        <f t="shared" si="0"/>
        <v>75.099999999999994</v>
      </c>
      <c r="G17" s="259">
        <f>[8]Juni!G17+[3]Juni!Q15</f>
        <v>51.8</v>
      </c>
      <c r="H17" s="260">
        <f>26.7+2</f>
        <v>28.7</v>
      </c>
      <c r="I17" s="260"/>
      <c r="J17" s="87">
        <f t="shared" si="1"/>
        <v>80.5</v>
      </c>
      <c r="K17" s="259">
        <f>2.4+50</f>
        <v>52.4</v>
      </c>
      <c r="L17" s="260">
        <v>4.4000000000000004</v>
      </c>
      <c r="M17" s="260"/>
      <c r="N17" s="87">
        <f t="shared" si="2"/>
        <v>56.8</v>
      </c>
      <c r="O17" s="259">
        <f>[8]Juni!O17+[3]Juni!X15</f>
        <v>52.4</v>
      </c>
      <c r="P17" s="260">
        <f>16.5+1</f>
        <v>17.5</v>
      </c>
      <c r="Q17" s="260"/>
      <c r="R17" s="87">
        <f t="shared" si="3"/>
        <v>69.900000000000006</v>
      </c>
      <c r="S17" s="261">
        <v>0</v>
      </c>
      <c r="T17" s="260">
        <f>12+2</f>
        <v>14</v>
      </c>
      <c r="U17" s="260"/>
      <c r="V17" s="87">
        <f t="shared" si="4"/>
        <v>14</v>
      </c>
      <c r="W17" s="257">
        <v>10</v>
      </c>
      <c r="X17" s="260">
        <f>32+1</f>
        <v>33</v>
      </c>
      <c r="Y17" s="260"/>
      <c r="Z17" s="87">
        <f t="shared" si="5"/>
        <v>43</v>
      </c>
      <c r="AA17" s="94">
        <f t="shared" si="12"/>
        <v>339.29999999999995</v>
      </c>
      <c r="AB17" s="96" t="s">
        <v>53</v>
      </c>
      <c r="AC17" s="138"/>
      <c r="AD17" s="146">
        <v>10</v>
      </c>
      <c r="AE17" s="147" t="s">
        <v>13</v>
      </c>
      <c r="AF17" s="141">
        <f>(C17+G17+K17+O17+S17+W17)</f>
        <v>218.70000000000002</v>
      </c>
      <c r="AG17" s="141">
        <f>(D17+H17+L17+P17+T17+X17)</f>
        <v>120.6</v>
      </c>
      <c r="AH17" s="141">
        <f>(E17+I17+M17+Q17++U17+Y17)</f>
        <v>0</v>
      </c>
      <c r="AI17" s="108"/>
      <c r="AJ17" s="148">
        <v>10</v>
      </c>
      <c r="AK17" s="149" t="s">
        <v>13</v>
      </c>
      <c r="AL17" s="144">
        <f t="shared" si="8"/>
        <v>218.70000000000002</v>
      </c>
      <c r="AM17" s="145">
        <f t="shared" si="9"/>
        <v>0.64456233421750675</v>
      </c>
      <c r="AN17" s="144">
        <f t="shared" si="13"/>
        <v>120.6</v>
      </c>
      <c r="AO17" s="145">
        <f t="shared" si="10"/>
        <v>0.35543766578249342</v>
      </c>
      <c r="AP17" s="144">
        <f t="shared" si="14"/>
        <v>0</v>
      </c>
      <c r="AQ17" s="145">
        <f t="shared" si="11"/>
        <v>0</v>
      </c>
    </row>
    <row r="18" spans="1:43" x14ac:dyDescent="0.25">
      <c r="A18" s="156">
        <v>11</v>
      </c>
      <c r="B18" s="157" t="s">
        <v>14</v>
      </c>
      <c r="C18" s="259">
        <f>[8]Juni!C18+[3]Juni!J16</f>
        <v>51.7</v>
      </c>
      <c r="D18" s="260">
        <f>21.6+1</f>
        <v>22.6</v>
      </c>
      <c r="E18" s="260"/>
      <c r="F18" s="87">
        <f t="shared" si="0"/>
        <v>74.300000000000011</v>
      </c>
      <c r="G18" s="259">
        <f>[8]Juni!G18+[3]Juni!Q16</f>
        <v>1.5</v>
      </c>
      <c r="H18" s="260">
        <v>26.7</v>
      </c>
      <c r="I18" s="260"/>
      <c r="J18" s="87">
        <f t="shared" si="1"/>
        <v>28.2</v>
      </c>
      <c r="K18" s="259">
        <v>1.4</v>
      </c>
      <c r="L18" s="260">
        <v>4.5999999999999996</v>
      </c>
      <c r="M18" s="260"/>
      <c r="N18" s="87">
        <f t="shared" si="2"/>
        <v>6</v>
      </c>
      <c r="O18" s="259">
        <f>[8]Juni!O18+[3]Juni!X16</f>
        <v>1.4</v>
      </c>
      <c r="P18" s="260">
        <v>16.2</v>
      </c>
      <c r="Q18" s="260"/>
      <c r="R18" s="87">
        <f t="shared" si="3"/>
        <v>17.599999999999998</v>
      </c>
      <c r="S18" s="261">
        <v>0</v>
      </c>
      <c r="T18" s="260">
        <v>12</v>
      </c>
      <c r="U18" s="260"/>
      <c r="V18" s="87">
        <f t="shared" si="4"/>
        <v>12</v>
      </c>
      <c r="W18" s="257">
        <v>0</v>
      </c>
      <c r="X18" s="260">
        <v>32</v>
      </c>
      <c r="Y18" s="260"/>
      <c r="Z18" s="87">
        <f t="shared" si="5"/>
        <v>32</v>
      </c>
      <c r="AA18" s="94">
        <f t="shared" si="12"/>
        <v>170.10000000000002</v>
      </c>
      <c r="AB18" s="96" t="s">
        <v>53</v>
      </c>
      <c r="AC18" s="138"/>
      <c r="AD18" s="146">
        <v>11</v>
      </c>
      <c r="AE18" s="147" t="s">
        <v>14</v>
      </c>
      <c r="AF18" s="141">
        <f t="shared" ref="AF18:AG38" si="15">(C18+G18+K18+O18+S18+W18)</f>
        <v>56</v>
      </c>
      <c r="AG18" s="141">
        <f t="shared" si="15"/>
        <v>114.1</v>
      </c>
      <c r="AH18" s="141">
        <f t="shared" ref="AH18:AH38" si="16">(E18+I18+M18+Q18++U18+Y18)</f>
        <v>0</v>
      </c>
      <c r="AI18" s="108"/>
      <c r="AJ18" s="148">
        <v>11</v>
      </c>
      <c r="AK18" s="149" t="s">
        <v>14</v>
      </c>
      <c r="AL18" s="144">
        <f t="shared" si="8"/>
        <v>56</v>
      </c>
      <c r="AM18" s="145">
        <f t="shared" si="9"/>
        <v>0.32921810699588472</v>
      </c>
      <c r="AN18" s="144">
        <f t="shared" si="13"/>
        <v>114.1</v>
      </c>
      <c r="AO18" s="145">
        <f t="shared" si="10"/>
        <v>0.67078189300411506</v>
      </c>
      <c r="AP18" s="144">
        <f t="shared" si="14"/>
        <v>0</v>
      </c>
      <c r="AQ18" s="145">
        <f t="shared" si="11"/>
        <v>0</v>
      </c>
    </row>
    <row r="19" spans="1:43" x14ac:dyDescent="0.25">
      <c r="A19" s="156">
        <v>12</v>
      </c>
      <c r="B19" s="157" t="s">
        <v>15</v>
      </c>
      <c r="C19" s="259">
        <f>[8]Juni!C19+[3]Juni!J17</f>
        <v>2.5</v>
      </c>
      <c r="D19" s="260">
        <v>19.899999999999999</v>
      </c>
      <c r="E19" s="260"/>
      <c r="F19" s="87">
        <f t="shared" si="0"/>
        <v>22.4</v>
      </c>
      <c r="G19" s="259">
        <f>[8]Juni!G19+[3]Juni!Q17</f>
        <v>51.7</v>
      </c>
      <c r="H19" s="260">
        <f>26.7+2</f>
        <v>28.7</v>
      </c>
      <c r="I19" s="260"/>
      <c r="J19" s="87">
        <f t="shared" si="1"/>
        <v>80.400000000000006</v>
      </c>
      <c r="K19" s="259">
        <f>2.6+50</f>
        <v>52.6</v>
      </c>
      <c r="L19" s="260">
        <v>5.4</v>
      </c>
      <c r="M19" s="260"/>
      <c r="N19" s="87">
        <f t="shared" si="2"/>
        <v>58</v>
      </c>
      <c r="O19" s="259">
        <f>[8]Juni!O19+[3]Juni!X17</f>
        <v>52.1</v>
      </c>
      <c r="P19" s="260">
        <f>16.1+1</f>
        <v>17.100000000000001</v>
      </c>
      <c r="Q19" s="260"/>
      <c r="R19" s="87">
        <f t="shared" si="3"/>
        <v>69.2</v>
      </c>
      <c r="S19" s="261">
        <v>0</v>
      </c>
      <c r="T19" s="260">
        <f>12+1</f>
        <v>13</v>
      </c>
      <c r="U19" s="260"/>
      <c r="V19" s="87">
        <f t="shared" si="4"/>
        <v>13</v>
      </c>
      <c r="W19" s="257">
        <v>0</v>
      </c>
      <c r="X19" s="260">
        <v>32</v>
      </c>
      <c r="Y19" s="260"/>
      <c r="Z19" s="87">
        <f t="shared" si="5"/>
        <v>32</v>
      </c>
      <c r="AA19" s="94">
        <f t="shared" si="12"/>
        <v>275</v>
      </c>
      <c r="AB19" s="96" t="s">
        <v>53</v>
      </c>
      <c r="AC19" s="138"/>
      <c r="AD19" s="146">
        <v>12</v>
      </c>
      <c r="AE19" s="147" t="s">
        <v>15</v>
      </c>
      <c r="AF19" s="141">
        <f t="shared" si="15"/>
        <v>158.9</v>
      </c>
      <c r="AG19" s="141">
        <f t="shared" si="15"/>
        <v>116.1</v>
      </c>
      <c r="AH19" s="141">
        <f t="shared" si="16"/>
        <v>0</v>
      </c>
      <c r="AI19" s="108"/>
      <c r="AJ19" s="148">
        <v>12</v>
      </c>
      <c r="AK19" s="149" t="s">
        <v>15</v>
      </c>
      <c r="AL19" s="144">
        <f t="shared" si="8"/>
        <v>158.9</v>
      </c>
      <c r="AM19" s="145">
        <f t="shared" si="9"/>
        <v>0.57781818181818179</v>
      </c>
      <c r="AN19" s="144">
        <f t="shared" si="13"/>
        <v>116.1</v>
      </c>
      <c r="AO19" s="145">
        <f t="shared" si="10"/>
        <v>0.42218181818181816</v>
      </c>
      <c r="AP19" s="144">
        <f t="shared" si="14"/>
        <v>0</v>
      </c>
      <c r="AQ19" s="145">
        <f t="shared" si="11"/>
        <v>0</v>
      </c>
    </row>
    <row r="20" spans="1:43" x14ac:dyDescent="0.25">
      <c r="A20" s="156">
        <v>13</v>
      </c>
      <c r="B20" s="157" t="s">
        <v>16</v>
      </c>
      <c r="C20" s="259">
        <f>[8]Juni!C20+[3]Juni!J18</f>
        <v>52.4</v>
      </c>
      <c r="D20" s="260">
        <f>18.2+2</f>
        <v>20.2</v>
      </c>
      <c r="E20" s="260"/>
      <c r="F20" s="87">
        <f t="shared" si="0"/>
        <v>72.599999999999994</v>
      </c>
      <c r="G20" s="259">
        <f>[8]Juni!G20+[3]Juni!Q18</f>
        <v>2.1</v>
      </c>
      <c r="H20" s="260">
        <v>25</v>
      </c>
      <c r="I20" s="260"/>
      <c r="J20" s="87">
        <f t="shared" si="1"/>
        <v>27.1</v>
      </c>
      <c r="K20" s="259">
        <f>2.3+50</f>
        <v>52.3</v>
      </c>
      <c r="L20" s="260">
        <v>6</v>
      </c>
      <c r="M20" s="260"/>
      <c r="N20" s="87">
        <f t="shared" si="2"/>
        <v>58.3</v>
      </c>
      <c r="O20" s="259">
        <f>[8]Juni!O20+[3]Juni!X18</f>
        <v>51.5</v>
      </c>
      <c r="P20" s="260">
        <f>14.6+2</f>
        <v>16.600000000000001</v>
      </c>
      <c r="Q20" s="260"/>
      <c r="R20" s="87">
        <f t="shared" si="3"/>
        <v>68.099999999999994</v>
      </c>
      <c r="S20" s="261">
        <v>0</v>
      </c>
      <c r="T20" s="260">
        <v>10</v>
      </c>
      <c r="U20" s="260"/>
      <c r="V20" s="87">
        <f t="shared" si="4"/>
        <v>10</v>
      </c>
      <c r="W20" s="257">
        <v>10</v>
      </c>
      <c r="X20" s="260">
        <f>30+2</f>
        <v>32</v>
      </c>
      <c r="Y20" s="260"/>
      <c r="Z20" s="87">
        <f t="shared" si="5"/>
        <v>42</v>
      </c>
      <c r="AA20" s="94">
        <f t="shared" si="12"/>
        <v>278.10000000000002</v>
      </c>
      <c r="AB20" s="96" t="s">
        <v>53</v>
      </c>
      <c r="AC20" s="138"/>
      <c r="AD20" s="146">
        <v>13</v>
      </c>
      <c r="AE20" s="147" t="s">
        <v>16</v>
      </c>
      <c r="AF20" s="141">
        <f t="shared" si="15"/>
        <v>168.3</v>
      </c>
      <c r="AG20" s="141">
        <f t="shared" si="15"/>
        <v>109.80000000000001</v>
      </c>
      <c r="AH20" s="141">
        <f t="shared" si="16"/>
        <v>0</v>
      </c>
      <c r="AI20" s="108"/>
      <c r="AJ20" s="148">
        <v>13</v>
      </c>
      <c r="AK20" s="149" t="s">
        <v>16</v>
      </c>
      <c r="AL20" s="144">
        <f t="shared" si="8"/>
        <v>168.3</v>
      </c>
      <c r="AM20" s="145">
        <f t="shared" si="9"/>
        <v>0.60517799352750812</v>
      </c>
      <c r="AN20" s="144">
        <f t="shared" si="13"/>
        <v>109.80000000000001</v>
      </c>
      <c r="AO20" s="145">
        <f t="shared" si="10"/>
        <v>0.39482200647249194</v>
      </c>
      <c r="AP20" s="144">
        <f t="shared" si="14"/>
        <v>0</v>
      </c>
      <c r="AQ20" s="145">
        <f t="shared" si="11"/>
        <v>0</v>
      </c>
    </row>
    <row r="21" spans="1:43" x14ac:dyDescent="0.25">
      <c r="A21" s="156">
        <v>14</v>
      </c>
      <c r="B21" s="157" t="s">
        <v>17</v>
      </c>
      <c r="C21" s="259">
        <f>[8]Juni!C21+[3]Juni!J19</f>
        <v>0</v>
      </c>
      <c r="D21" s="260">
        <v>15</v>
      </c>
      <c r="E21" s="260"/>
      <c r="F21" s="87">
        <f t="shared" si="0"/>
        <v>15</v>
      </c>
      <c r="G21" s="259">
        <f>[8]Juni!G21+[3]Juni!Q19</f>
        <v>52.5</v>
      </c>
      <c r="H21" s="260">
        <f>25.4+1</f>
        <v>26.4</v>
      </c>
      <c r="I21" s="260"/>
      <c r="J21" s="87">
        <f t="shared" si="1"/>
        <v>78.900000000000006</v>
      </c>
      <c r="K21" s="259">
        <f>1.8+50</f>
        <v>51.8</v>
      </c>
      <c r="L21" s="260">
        <v>4.7</v>
      </c>
      <c r="M21" s="260"/>
      <c r="N21" s="87">
        <f t="shared" si="2"/>
        <v>56.5</v>
      </c>
      <c r="O21" s="259">
        <f>[8]Juni!O21+[3]Juni!X19</f>
        <v>1.9</v>
      </c>
      <c r="P21" s="260">
        <v>15.4</v>
      </c>
      <c r="Q21" s="260"/>
      <c r="R21" s="87">
        <f t="shared" si="3"/>
        <v>17.3</v>
      </c>
      <c r="S21" s="261">
        <v>0</v>
      </c>
      <c r="T21" s="260">
        <f>10+4</f>
        <v>14</v>
      </c>
      <c r="U21" s="260"/>
      <c r="V21" s="87">
        <f t="shared" si="4"/>
        <v>14</v>
      </c>
      <c r="W21" s="257">
        <v>0</v>
      </c>
      <c r="X21" s="260">
        <v>30</v>
      </c>
      <c r="Y21" s="260"/>
      <c r="Z21" s="87">
        <f t="shared" si="5"/>
        <v>30</v>
      </c>
      <c r="AA21" s="94">
        <f t="shared" si="12"/>
        <v>211.70000000000002</v>
      </c>
      <c r="AB21" s="96" t="s">
        <v>53</v>
      </c>
      <c r="AC21" s="138"/>
      <c r="AD21" s="146">
        <v>14</v>
      </c>
      <c r="AE21" s="147" t="s">
        <v>17</v>
      </c>
      <c r="AF21" s="141">
        <f t="shared" si="15"/>
        <v>106.2</v>
      </c>
      <c r="AG21" s="141">
        <f t="shared" si="15"/>
        <v>105.5</v>
      </c>
      <c r="AH21" s="141">
        <f t="shared" si="16"/>
        <v>0</v>
      </c>
      <c r="AI21" s="108"/>
      <c r="AJ21" s="148">
        <v>14</v>
      </c>
      <c r="AK21" s="149" t="s">
        <v>17</v>
      </c>
      <c r="AL21" s="144">
        <f t="shared" si="8"/>
        <v>106.2</v>
      </c>
      <c r="AM21" s="145">
        <f t="shared" si="9"/>
        <v>0.50165328294756728</v>
      </c>
      <c r="AN21" s="144">
        <f t="shared" si="13"/>
        <v>105.5</v>
      </c>
      <c r="AO21" s="145">
        <f t="shared" si="10"/>
        <v>0.49834671705243266</v>
      </c>
      <c r="AP21" s="144">
        <f t="shared" si="14"/>
        <v>0</v>
      </c>
      <c r="AQ21" s="145">
        <f t="shared" si="11"/>
        <v>0</v>
      </c>
    </row>
    <row r="22" spans="1:43" x14ac:dyDescent="0.25">
      <c r="A22" s="156">
        <v>15</v>
      </c>
      <c r="B22" s="157" t="s">
        <v>18</v>
      </c>
      <c r="C22" s="259">
        <f>[8]Juni!C22+[3]Juni!J20</f>
        <v>0</v>
      </c>
      <c r="D22" s="260"/>
      <c r="E22" s="260"/>
      <c r="F22" s="87">
        <f t="shared" si="0"/>
        <v>0</v>
      </c>
      <c r="G22" s="259">
        <f>[8]Juni!G22+[3]Juni!Q20</f>
        <v>1.9</v>
      </c>
      <c r="H22" s="260">
        <v>4</v>
      </c>
      <c r="I22" s="260"/>
      <c r="J22" s="87">
        <f t="shared" si="1"/>
        <v>5.9</v>
      </c>
      <c r="K22" s="259">
        <v>1.7</v>
      </c>
      <c r="L22" s="260">
        <v>5.2</v>
      </c>
      <c r="M22" s="260"/>
      <c r="N22" s="87">
        <f t="shared" si="2"/>
        <v>6.9</v>
      </c>
      <c r="O22" s="259">
        <f>[8]Juni!O22+[3]Juni!X20</f>
        <v>0</v>
      </c>
      <c r="P22" s="260"/>
      <c r="Q22" s="260"/>
      <c r="R22" s="87">
        <f t="shared" si="3"/>
        <v>0</v>
      </c>
      <c r="S22" s="261">
        <v>0</v>
      </c>
      <c r="T22" s="260"/>
      <c r="U22" s="260"/>
      <c r="V22" s="87">
        <f t="shared" si="4"/>
        <v>0</v>
      </c>
      <c r="W22" s="257">
        <v>0</v>
      </c>
      <c r="X22" s="260"/>
      <c r="Y22" s="260"/>
      <c r="Z22" s="87">
        <f t="shared" si="5"/>
        <v>0</v>
      </c>
      <c r="AA22" s="94">
        <f t="shared" si="12"/>
        <v>12.8</v>
      </c>
      <c r="AB22" s="96" t="s">
        <v>53</v>
      </c>
      <c r="AC22" s="138"/>
      <c r="AD22" s="146">
        <v>15</v>
      </c>
      <c r="AE22" s="147" t="s">
        <v>18</v>
      </c>
      <c r="AF22" s="141">
        <f t="shared" si="15"/>
        <v>3.5999999999999996</v>
      </c>
      <c r="AG22" s="141">
        <f t="shared" si="15"/>
        <v>9.1999999999999993</v>
      </c>
      <c r="AH22" s="141">
        <f t="shared" si="16"/>
        <v>0</v>
      </c>
      <c r="AI22" s="108"/>
      <c r="AJ22" s="148">
        <v>15</v>
      </c>
      <c r="AK22" s="149" t="s">
        <v>18</v>
      </c>
      <c r="AL22" s="144">
        <f t="shared" si="8"/>
        <v>3.5999999999999996</v>
      </c>
      <c r="AM22" s="145">
        <f t="shared" si="9"/>
        <v>0.28124999999999994</v>
      </c>
      <c r="AN22" s="144">
        <f t="shared" si="13"/>
        <v>9.1999999999999993</v>
      </c>
      <c r="AO22" s="145">
        <f t="shared" si="10"/>
        <v>0.71874999999999989</v>
      </c>
      <c r="AP22" s="144">
        <f t="shared" si="14"/>
        <v>0</v>
      </c>
      <c r="AQ22" s="145">
        <f t="shared" si="11"/>
        <v>0</v>
      </c>
    </row>
    <row r="23" spans="1:43" x14ac:dyDescent="0.25">
      <c r="A23" s="156">
        <v>16</v>
      </c>
      <c r="B23" s="157" t="s">
        <v>19</v>
      </c>
      <c r="C23" s="259">
        <f>[8]Juni!C23+[3]Juni!J21</f>
        <v>52.6</v>
      </c>
      <c r="D23" s="260">
        <f>19.4+1</f>
        <v>20.399999999999999</v>
      </c>
      <c r="E23" s="260"/>
      <c r="F23" s="87">
        <f t="shared" si="0"/>
        <v>73</v>
      </c>
      <c r="G23" s="259">
        <f>[8]Juni!G23+[3]Juni!Q21</f>
        <v>52.4</v>
      </c>
      <c r="H23" s="260">
        <f>24.3+1</f>
        <v>25.3</v>
      </c>
      <c r="I23" s="260"/>
      <c r="J23" s="87">
        <f t="shared" si="1"/>
        <v>77.7</v>
      </c>
      <c r="K23" s="259">
        <f>1.2+50</f>
        <v>51.2</v>
      </c>
      <c r="L23" s="260">
        <v>5.0999999999999996</v>
      </c>
      <c r="M23" s="260"/>
      <c r="N23" s="87">
        <f t="shared" si="2"/>
        <v>56.300000000000004</v>
      </c>
      <c r="O23" s="259">
        <f>[8]Juni!O23+[3]Juni!X21</f>
        <v>52.3</v>
      </c>
      <c r="P23" s="260">
        <f>15.1+1</f>
        <v>16.100000000000001</v>
      </c>
      <c r="Q23" s="260"/>
      <c r="R23" s="87">
        <f t="shared" si="3"/>
        <v>68.400000000000006</v>
      </c>
      <c r="S23" s="261">
        <v>0</v>
      </c>
      <c r="T23" s="260">
        <f>10+2</f>
        <v>12</v>
      </c>
      <c r="U23" s="260"/>
      <c r="V23" s="87">
        <f t="shared" si="4"/>
        <v>12</v>
      </c>
      <c r="W23" s="257">
        <v>10</v>
      </c>
      <c r="X23" s="260">
        <f>30+1</f>
        <v>31</v>
      </c>
      <c r="Y23" s="260"/>
      <c r="Z23" s="87">
        <f t="shared" si="5"/>
        <v>41</v>
      </c>
      <c r="AA23" s="94">
        <f t="shared" si="12"/>
        <v>328.4</v>
      </c>
      <c r="AB23" s="96" t="s">
        <v>53</v>
      </c>
      <c r="AC23" s="138"/>
      <c r="AD23" s="146">
        <v>16</v>
      </c>
      <c r="AE23" s="147" t="s">
        <v>19</v>
      </c>
      <c r="AF23" s="141">
        <f t="shared" si="15"/>
        <v>218.5</v>
      </c>
      <c r="AG23" s="141">
        <f t="shared" si="15"/>
        <v>109.9</v>
      </c>
      <c r="AH23" s="141">
        <f t="shared" si="16"/>
        <v>0</v>
      </c>
      <c r="AI23" s="108"/>
      <c r="AJ23" s="148">
        <v>16</v>
      </c>
      <c r="AK23" s="149" t="s">
        <v>19</v>
      </c>
      <c r="AL23" s="144">
        <f t="shared" si="8"/>
        <v>218.5</v>
      </c>
      <c r="AM23" s="145">
        <f t="shared" si="9"/>
        <v>0.66534713763702802</v>
      </c>
      <c r="AN23" s="144">
        <f t="shared" si="13"/>
        <v>109.9</v>
      </c>
      <c r="AO23" s="145">
        <f t="shared" si="10"/>
        <v>0.33465286236297204</v>
      </c>
      <c r="AP23" s="144">
        <f t="shared" si="14"/>
        <v>0</v>
      </c>
      <c r="AQ23" s="145">
        <f t="shared" si="11"/>
        <v>0</v>
      </c>
    </row>
    <row r="24" spans="1:43" x14ac:dyDescent="0.25">
      <c r="A24" s="156">
        <v>17</v>
      </c>
      <c r="B24" s="157" t="s">
        <v>20</v>
      </c>
      <c r="C24" s="259">
        <f>[8]Juni!C24+[3]Juni!J22</f>
        <v>2.2999999999999998</v>
      </c>
      <c r="D24" s="260">
        <v>19</v>
      </c>
      <c r="E24" s="260"/>
      <c r="F24" s="87">
        <f t="shared" si="0"/>
        <v>21.3</v>
      </c>
      <c r="G24" s="259">
        <f>[8]Juni!G24+[3]Juni!Q22</f>
        <v>2.4</v>
      </c>
      <c r="H24" s="260">
        <v>24.8</v>
      </c>
      <c r="I24" s="260"/>
      <c r="J24" s="87">
        <f t="shared" si="1"/>
        <v>27.2</v>
      </c>
      <c r="K24" s="259">
        <f>1.8+50</f>
        <v>51.8</v>
      </c>
      <c r="L24" s="260">
        <v>5.4</v>
      </c>
      <c r="M24" s="260"/>
      <c r="N24" s="87">
        <f t="shared" si="2"/>
        <v>57.199999999999996</v>
      </c>
      <c r="O24" s="259">
        <f>[8]Juni!O24+[3]Juni!X22</f>
        <v>1.8</v>
      </c>
      <c r="P24" s="260">
        <v>13.9</v>
      </c>
      <c r="Q24" s="260"/>
      <c r="R24" s="87">
        <f t="shared" si="3"/>
        <v>15.700000000000001</v>
      </c>
      <c r="S24" s="261">
        <v>0</v>
      </c>
      <c r="T24" s="260">
        <f>10+2</f>
        <v>12</v>
      </c>
      <c r="U24" s="260"/>
      <c r="V24" s="87">
        <f t="shared" si="4"/>
        <v>12</v>
      </c>
      <c r="W24" s="257">
        <v>0</v>
      </c>
      <c r="X24" s="260">
        <v>30</v>
      </c>
      <c r="Y24" s="260"/>
      <c r="Z24" s="87">
        <f t="shared" si="5"/>
        <v>30</v>
      </c>
      <c r="AA24" s="94">
        <f t="shared" si="12"/>
        <v>163.39999999999998</v>
      </c>
      <c r="AB24" s="96" t="s">
        <v>53</v>
      </c>
      <c r="AC24" s="138"/>
      <c r="AD24" s="146">
        <v>17</v>
      </c>
      <c r="AE24" s="147" t="s">
        <v>20</v>
      </c>
      <c r="AF24" s="141">
        <f t="shared" si="15"/>
        <v>58.3</v>
      </c>
      <c r="AG24" s="141">
        <f t="shared" si="15"/>
        <v>105.1</v>
      </c>
      <c r="AH24" s="141">
        <f t="shared" si="16"/>
        <v>0</v>
      </c>
      <c r="AI24" s="108"/>
      <c r="AJ24" s="148">
        <v>17</v>
      </c>
      <c r="AK24" s="149" t="s">
        <v>20</v>
      </c>
      <c r="AL24" s="144">
        <f t="shared" si="8"/>
        <v>58.3</v>
      </c>
      <c r="AM24" s="145">
        <f t="shared" si="9"/>
        <v>0.35679314565483478</v>
      </c>
      <c r="AN24" s="144">
        <f t="shared" si="13"/>
        <v>105.1</v>
      </c>
      <c r="AO24" s="145">
        <f t="shared" si="10"/>
        <v>0.64320685434516534</v>
      </c>
      <c r="AP24" s="144">
        <f t="shared" si="14"/>
        <v>0</v>
      </c>
      <c r="AQ24" s="145">
        <f t="shared" si="11"/>
        <v>0</v>
      </c>
    </row>
    <row r="25" spans="1:43" x14ac:dyDescent="0.25">
      <c r="A25" s="156">
        <v>18</v>
      </c>
      <c r="B25" s="157" t="s">
        <v>21</v>
      </c>
      <c r="C25" s="259">
        <f>[8]Juni!C25+[3]Juni!J23</f>
        <v>52.5</v>
      </c>
      <c r="D25" s="260">
        <f>19.5+1</f>
        <v>20.5</v>
      </c>
      <c r="E25" s="260"/>
      <c r="F25" s="87">
        <f t="shared" si="0"/>
        <v>73</v>
      </c>
      <c r="G25" s="259">
        <f>[8]Juni!G25+[3]Juni!Q23</f>
        <v>52.3</v>
      </c>
      <c r="H25" s="260">
        <f>24.4+2</f>
        <v>26.4</v>
      </c>
      <c r="I25" s="260"/>
      <c r="J25" s="87">
        <f t="shared" si="1"/>
        <v>78.699999999999989</v>
      </c>
      <c r="K25" s="259">
        <f>1.1+50</f>
        <v>51.1</v>
      </c>
      <c r="L25" s="260">
        <v>5.5</v>
      </c>
      <c r="M25" s="260"/>
      <c r="N25" s="87">
        <f t="shared" si="2"/>
        <v>56.6</v>
      </c>
      <c r="O25" s="259">
        <f>[8]Juni!O25+[3]Juni!X23</f>
        <v>51.9</v>
      </c>
      <c r="P25" s="260">
        <f>15.2+2</f>
        <v>17.2</v>
      </c>
      <c r="Q25" s="260"/>
      <c r="R25" s="87">
        <f t="shared" si="3"/>
        <v>69.099999999999994</v>
      </c>
      <c r="S25" s="261">
        <v>0</v>
      </c>
      <c r="T25" s="260">
        <v>10</v>
      </c>
      <c r="U25" s="260"/>
      <c r="V25" s="87">
        <f t="shared" si="4"/>
        <v>10</v>
      </c>
      <c r="W25" s="257">
        <v>0</v>
      </c>
      <c r="X25" s="260">
        <v>30</v>
      </c>
      <c r="Y25" s="260"/>
      <c r="Z25" s="87">
        <f t="shared" si="5"/>
        <v>30</v>
      </c>
      <c r="AA25" s="94">
        <f t="shared" si="12"/>
        <v>317.39999999999998</v>
      </c>
      <c r="AB25" s="96" t="s">
        <v>53</v>
      </c>
      <c r="AC25" s="138"/>
      <c r="AD25" s="146">
        <v>18</v>
      </c>
      <c r="AE25" s="147" t="s">
        <v>21</v>
      </c>
      <c r="AF25" s="141">
        <f t="shared" si="15"/>
        <v>207.8</v>
      </c>
      <c r="AG25" s="141">
        <f t="shared" si="15"/>
        <v>109.6</v>
      </c>
      <c r="AH25" s="141">
        <f t="shared" si="16"/>
        <v>0</v>
      </c>
      <c r="AI25" s="108"/>
      <c r="AJ25" s="148">
        <v>18</v>
      </c>
      <c r="AK25" s="149" t="s">
        <v>21</v>
      </c>
      <c r="AL25" s="144">
        <f t="shared" si="8"/>
        <v>207.8</v>
      </c>
      <c r="AM25" s="145">
        <f t="shared" si="9"/>
        <v>0.65469439193446766</v>
      </c>
      <c r="AN25" s="144">
        <f t="shared" si="13"/>
        <v>109.6</v>
      </c>
      <c r="AO25" s="145">
        <f t="shared" si="10"/>
        <v>0.34530560806553245</v>
      </c>
      <c r="AP25" s="144">
        <f t="shared" si="14"/>
        <v>0</v>
      </c>
      <c r="AQ25" s="145">
        <f t="shared" si="11"/>
        <v>0</v>
      </c>
    </row>
    <row r="26" spans="1:43" x14ac:dyDescent="0.25">
      <c r="A26" s="156">
        <v>19</v>
      </c>
      <c r="B26" s="157" t="s">
        <v>22</v>
      </c>
      <c r="C26" s="259">
        <f>[8]Juni!C26+[3]Juni!J24</f>
        <v>2.2999999999999998</v>
      </c>
      <c r="D26" s="260">
        <v>19.100000000000001</v>
      </c>
      <c r="E26" s="260"/>
      <c r="F26" s="87">
        <f t="shared" si="0"/>
        <v>21.400000000000002</v>
      </c>
      <c r="G26" s="259">
        <f>[8]Juni!G26+[3]Juni!Q24</f>
        <v>1.8</v>
      </c>
      <c r="H26" s="260">
        <v>25</v>
      </c>
      <c r="I26" s="260"/>
      <c r="J26" s="87">
        <f t="shared" si="1"/>
        <v>26.8</v>
      </c>
      <c r="K26" s="259">
        <f>2.1+50</f>
        <v>52.1</v>
      </c>
      <c r="L26" s="260">
        <v>5.4</v>
      </c>
      <c r="M26" s="260"/>
      <c r="N26" s="87">
        <f t="shared" si="2"/>
        <v>57.5</v>
      </c>
      <c r="O26" s="259">
        <f>[8]Juni!O26+[3]Juni!X24</f>
        <v>1.5</v>
      </c>
      <c r="P26" s="260">
        <v>15</v>
      </c>
      <c r="Q26" s="260"/>
      <c r="R26" s="87">
        <f t="shared" si="3"/>
        <v>16.5</v>
      </c>
      <c r="S26" s="261">
        <v>0</v>
      </c>
      <c r="T26" s="260">
        <v>10</v>
      </c>
      <c r="U26" s="260"/>
      <c r="V26" s="87">
        <f t="shared" si="4"/>
        <v>10</v>
      </c>
      <c r="W26" s="257">
        <v>10</v>
      </c>
      <c r="X26" s="260">
        <f>30+1</f>
        <v>31</v>
      </c>
      <c r="Y26" s="260"/>
      <c r="Z26" s="87">
        <f t="shared" si="5"/>
        <v>41</v>
      </c>
      <c r="AA26" s="94">
        <f t="shared" si="12"/>
        <v>173.2</v>
      </c>
      <c r="AB26" s="96" t="s">
        <v>53</v>
      </c>
      <c r="AC26" s="138"/>
      <c r="AD26" s="146">
        <v>19</v>
      </c>
      <c r="AE26" s="147" t="s">
        <v>22</v>
      </c>
      <c r="AF26" s="141">
        <f t="shared" si="15"/>
        <v>67.7</v>
      </c>
      <c r="AG26" s="141">
        <f t="shared" si="15"/>
        <v>105.5</v>
      </c>
      <c r="AH26" s="141">
        <f t="shared" si="16"/>
        <v>0</v>
      </c>
      <c r="AI26" s="108"/>
      <c r="AJ26" s="148">
        <v>19</v>
      </c>
      <c r="AK26" s="149" t="s">
        <v>22</v>
      </c>
      <c r="AL26" s="144">
        <f t="shared" si="8"/>
        <v>67.7</v>
      </c>
      <c r="AM26" s="145">
        <f t="shared" si="9"/>
        <v>0.39087759815242501</v>
      </c>
      <c r="AN26" s="144">
        <f t="shared" si="13"/>
        <v>105.5</v>
      </c>
      <c r="AO26" s="145">
        <f t="shared" si="10"/>
        <v>0.60912240184757505</v>
      </c>
      <c r="AP26" s="144">
        <f t="shared" si="14"/>
        <v>0</v>
      </c>
      <c r="AQ26" s="145">
        <f t="shared" si="11"/>
        <v>0</v>
      </c>
    </row>
    <row r="27" spans="1:43" x14ac:dyDescent="0.25">
      <c r="A27" s="156">
        <v>20</v>
      </c>
      <c r="B27" s="157" t="s">
        <v>23</v>
      </c>
      <c r="C27" s="259">
        <f>[8]Juni!C27+[3]Juni!J25</f>
        <v>2.2999999999999998</v>
      </c>
      <c r="D27" s="260">
        <v>19.399999999999999</v>
      </c>
      <c r="E27" s="260"/>
      <c r="F27" s="87">
        <f t="shared" si="0"/>
        <v>21.7</v>
      </c>
      <c r="G27" s="259">
        <f>[8]Juni!G27+[3]Juni!Q25</f>
        <v>51.5</v>
      </c>
      <c r="H27" s="260">
        <f>24.1+2</f>
        <v>26.1</v>
      </c>
      <c r="I27" s="260"/>
      <c r="J27" s="87">
        <f t="shared" si="1"/>
        <v>77.599999999999994</v>
      </c>
      <c r="K27" s="259">
        <v>2.4</v>
      </c>
      <c r="L27" s="260">
        <v>5.7</v>
      </c>
      <c r="M27" s="260"/>
      <c r="N27" s="87">
        <f t="shared" si="2"/>
        <v>8.1</v>
      </c>
      <c r="O27" s="259">
        <f>[8]Juni!O27+[3]Juni!X25</f>
        <v>52.2</v>
      </c>
      <c r="P27" s="260">
        <f>14.2+1</f>
        <v>15.2</v>
      </c>
      <c r="Q27" s="260"/>
      <c r="R27" s="87">
        <f t="shared" si="3"/>
        <v>67.400000000000006</v>
      </c>
      <c r="S27" s="261">
        <v>0</v>
      </c>
      <c r="T27" s="260">
        <f>10+3</f>
        <v>13</v>
      </c>
      <c r="U27" s="260"/>
      <c r="V27" s="87">
        <f t="shared" si="4"/>
        <v>13</v>
      </c>
      <c r="W27" s="257">
        <v>0</v>
      </c>
      <c r="X27" s="260">
        <v>30</v>
      </c>
      <c r="Y27" s="260"/>
      <c r="Z27" s="87">
        <f t="shared" si="5"/>
        <v>30</v>
      </c>
      <c r="AA27" s="94">
        <f t="shared" si="12"/>
        <v>217.8</v>
      </c>
      <c r="AB27" s="96" t="s">
        <v>53</v>
      </c>
      <c r="AC27" s="138"/>
      <c r="AD27" s="146">
        <v>20</v>
      </c>
      <c r="AE27" s="147" t="s">
        <v>23</v>
      </c>
      <c r="AF27" s="141">
        <f t="shared" si="15"/>
        <v>108.4</v>
      </c>
      <c r="AG27" s="141">
        <f t="shared" si="15"/>
        <v>109.4</v>
      </c>
      <c r="AH27" s="141">
        <f t="shared" si="16"/>
        <v>0</v>
      </c>
      <c r="AI27" s="108"/>
      <c r="AJ27" s="148">
        <v>20</v>
      </c>
      <c r="AK27" s="149" t="s">
        <v>23</v>
      </c>
      <c r="AL27" s="144">
        <f t="shared" si="8"/>
        <v>108.4</v>
      </c>
      <c r="AM27" s="145">
        <f t="shared" si="9"/>
        <v>0.49770431588613406</v>
      </c>
      <c r="AN27" s="144">
        <f t="shared" si="13"/>
        <v>109.4</v>
      </c>
      <c r="AO27" s="145">
        <f t="shared" si="10"/>
        <v>0.50229568411386594</v>
      </c>
      <c r="AP27" s="144">
        <f t="shared" si="14"/>
        <v>0</v>
      </c>
      <c r="AQ27" s="145">
        <f t="shared" si="11"/>
        <v>0</v>
      </c>
    </row>
    <row r="28" spans="1:43" x14ac:dyDescent="0.25">
      <c r="A28" s="156">
        <v>21</v>
      </c>
      <c r="B28" s="157" t="s">
        <v>24</v>
      </c>
      <c r="C28" s="259">
        <f>[8]Juni!C28+[3]Juni!J26</f>
        <v>50</v>
      </c>
      <c r="D28" s="260">
        <f>15+1</f>
        <v>16</v>
      </c>
      <c r="E28" s="260"/>
      <c r="F28" s="87">
        <f t="shared" si="0"/>
        <v>66</v>
      </c>
      <c r="G28" s="259">
        <f>[8]Juni!G28+[3]Juni!Q26</f>
        <v>1.8</v>
      </c>
      <c r="H28" s="260">
        <v>24.3</v>
      </c>
      <c r="I28" s="260"/>
      <c r="J28" s="87">
        <f t="shared" si="1"/>
        <v>26.1</v>
      </c>
      <c r="K28" s="259">
        <v>1.4</v>
      </c>
      <c r="L28" s="260">
        <v>4.5</v>
      </c>
      <c r="M28" s="260"/>
      <c r="N28" s="87">
        <f t="shared" si="2"/>
        <v>5.9</v>
      </c>
      <c r="O28" s="259">
        <f>[8]Juni!O28+[3]Juni!X26</f>
        <v>2.1</v>
      </c>
      <c r="P28" s="260">
        <v>13.9</v>
      </c>
      <c r="Q28" s="260"/>
      <c r="R28" s="87">
        <f t="shared" si="3"/>
        <v>16</v>
      </c>
      <c r="S28" s="261">
        <v>0</v>
      </c>
      <c r="T28" s="260">
        <v>10</v>
      </c>
      <c r="U28" s="260"/>
      <c r="V28" s="87">
        <f t="shared" si="4"/>
        <v>10</v>
      </c>
      <c r="W28" s="257">
        <v>0</v>
      </c>
      <c r="X28" s="260">
        <v>30</v>
      </c>
      <c r="Y28" s="260"/>
      <c r="Z28" s="87">
        <f t="shared" si="5"/>
        <v>30</v>
      </c>
      <c r="AA28" s="94">
        <f t="shared" si="12"/>
        <v>154</v>
      </c>
      <c r="AB28" s="96" t="s">
        <v>53</v>
      </c>
      <c r="AC28" s="138"/>
      <c r="AD28" s="146">
        <v>21</v>
      </c>
      <c r="AE28" s="147" t="s">
        <v>24</v>
      </c>
      <c r="AF28" s="141">
        <f t="shared" si="15"/>
        <v>55.3</v>
      </c>
      <c r="AG28" s="141">
        <f t="shared" si="15"/>
        <v>98.699999999999989</v>
      </c>
      <c r="AH28" s="141">
        <f t="shared" si="16"/>
        <v>0</v>
      </c>
      <c r="AI28" s="108"/>
      <c r="AJ28" s="148">
        <v>21</v>
      </c>
      <c r="AK28" s="149" t="s">
        <v>24</v>
      </c>
      <c r="AL28" s="144">
        <f t="shared" si="8"/>
        <v>55.3</v>
      </c>
      <c r="AM28" s="145">
        <f t="shared" si="9"/>
        <v>0.35909090909090907</v>
      </c>
      <c r="AN28" s="144">
        <f t="shared" si="13"/>
        <v>98.699999999999989</v>
      </c>
      <c r="AO28" s="145">
        <f t="shared" si="10"/>
        <v>0.64090909090909087</v>
      </c>
      <c r="AP28" s="144">
        <f t="shared" si="14"/>
        <v>0</v>
      </c>
      <c r="AQ28" s="145">
        <f t="shared" si="11"/>
        <v>0</v>
      </c>
    </row>
    <row r="29" spans="1:43" x14ac:dyDescent="0.25">
      <c r="A29" s="156">
        <v>22</v>
      </c>
      <c r="B29" s="157" t="s">
        <v>25</v>
      </c>
      <c r="C29" s="259">
        <f>[8]Juni!C29+[3]Juni!J27</f>
        <v>0</v>
      </c>
      <c r="D29" s="260"/>
      <c r="E29" s="260"/>
      <c r="F29" s="87">
        <f t="shared" si="0"/>
        <v>0</v>
      </c>
      <c r="G29" s="259">
        <f>[8]Juni!G29+[3]Juni!Q27</f>
        <v>0</v>
      </c>
      <c r="H29" s="260"/>
      <c r="I29" s="260"/>
      <c r="J29" s="87">
        <f t="shared" si="1"/>
        <v>0</v>
      </c>
      <c r="K29" s="259">
        <v>1.9</v>
      </c>
      <c r="L29" s="260">
        <v>4.8</v>
      </c>
      <c r="M29" s="260"/>
      <c r="N29" s="87">
        <f t="shared" si="2"/>
        <v>6.6999999999999993</v>
      </c>
      <c r="O29" s="259">
        <f>[8]Juni!O29+[3]Juni!X27</f>
        <v>50</v>
      </c>
      <c r="P29" s="260">
        <v>1</v>
      </c>
      <c r="Q29" s="260"/>
      <c r="R29" s="87">
        <f t="shared" si="3"/>
        <v>51</v>
      </c>
      <c r="S29" s="261">
        <v>0</v>
      </c>
      <c r="T29" s="260">
        <f>1+1</f>
        <v>2</v>
      </c>
      <c r="U29" s="260"/>
      <c r="V29" s="87">
        <f t="shared" si="4"/>
        <v>2</v>
      </c>
      <c r="W29" s="257">
        <v>0</v>
      </c>
      <c r="X29" s="260"/>
      <c r="Y29" s="260"/>
      <c r="Z29" s="87">
        <f t="shared" si="5"/>
        <v>0</v>
      </c>
      <c r="AA29" s="94">
        <f t="shared" si="12"/>
        <v>59.7</v>
      </c>
      <c r="AB29" s="96" t="s">
        <v>53</v>
      </c>
      <c r="AC29" s="138"/>
      <c r="AD29" s="146">
        <v>22</v>
      </c>
      <c r="AE29" s="147" t="s">
        <v>25</v>
      </c>
      <c r="AF29" s="141">
        <f t="shared" si="15"/>
        <v>51.9</v>
      </c>
      <c r="AG29" s="141">
        <f t="shared" si="15"/>
        <v>7.8</v>
      </c>
      <c r="AH29" s="141">
        <f t="shared" si="16"/>
        <v>0</v>
      </c>
      <c r="AI29" s="108"/>
      <c r="AJ29" s="148">
        <v>22</v>
      </c>
      <c r="AK29" s="149" t="s">
        <v>25</v>
      </c>
      <c r="AL29" s="144">
        <f t="shared" si="8"/>
        <v>51.9</v>
      </c>
      <c r="AM29" s="145">
        <f t="shared" si="9"/>
        <v>0.8693467336683417</v>
      </c>
      <c r="AN29" s="144">
        <f t="shared" si="13"/>
        <v>7.8</v>
      </c>
      <c r="AO29" s="145">
        <f t="shared" si="10"/>
        <v>0.13065326633165827</v>
      </c>
      <c r="AP29" s="144">
        <f t="shared" si="14"/>
        <v>0</v>
      </c>
      <c r="AQ29" s="145">
        <f t="shared" si="11"/>
        <v>0</v>
      </c>
    </row>
    <row r="30" spans="1:43" x14ac:dyDescent="0.25">
      <c r="A30" s="156">
        <v>23</v>
      </c>
      <c r="B30" s="157" t="s">
        <v>26</v>
      </c>
      <c r="C30" s="259">
        <f>[8]Juni!C30+[3]Juni!J28</f>
        <v>2.4</v>
      </c>
      <c r="D30" s="260">
        <v>20.100000000000001</v>
      </c>
      <c r="E30" s="260">
        <v>60</v>
      </c>
      <c r="F30" s="87">
        <f t="shared" si="0"/>
        <v>82.5</v>
      </c>
      <c r="G30" s="259">
        <f>[8]Juni!G30+[3]Juni!Q28</f>
        <v>52.1</v>
      </c>
      <c r="H30" s="260">
        <f>25.1+2</f>
        <v>27.1</v>
      </c>
      <c r="I30" s="260">
        <v>200</v>
      </c>
      <c r="J30" s="87">
        <f t="shared" si="1"/>
        <v>279.2</v>
      </c>
      <c r="K30" s="259">
        <f>2.1+50</f>
        <v>52.1</v>
      </c>
      <c r="L30" s="260">
        <v>5.8</v>
      </c>
      <c r="M30" s="260">
        <v>100</v>
      </c>
      <c r="N30" s="87">
        <f t="shared" si="2"/>
        <v>157.9</v>
      </c>
      <c r="O30" s="259">
        <f>[8]Juni!O30+[3]Juni!X28</f>
        <v>1.5</v>
      </c>
      <c r="P30" s="260">
        <v>14.2</v>
      </c>
      <c r="Q30" s="260">
        <v>200</v>
      </c>
      <c r="R30" s="87">
        <f t="shared" si="3"/>
        <v>215.7</v>
      </c>
      <c r="S30" s="261">
        <v>0</v>
      </c>
      <c r="T30" s="260">
        <f>10+2</f>
        <v>12</v>
      </c>
      <c r="U30" s="260">
        <v>10</v>
      </c>
      <c r="V30" s="87">
        <f t="shared" si="4"/>
        <v>22</v>
      </c>
      <c r="W30" s="257">
        <v>10</v>
      </c>
      <c r="X30" s="260">
        <f>30+1</f>
        <v>31</v>
      </c>
      <c r="Y30" s="260">
        <v>50</v>
      </c>
      <c r="Z30" s="87">
        <f t="shared" si="5"/>
        <v>91</v>
      </c>
      <c r="AA30" s="94">
        <f t="shared" si="12"/>
        <v>848.3</v>
      </c>
      <c r="AB30" s="96" t="s">
        <v>53</v>
      </c>
      <c r="AC30" s="138"/>
      <c r="AD30" s="146">
        <v>23</v>
      </c>
      <c r="AE30" s="147" t="s">
        <v>26</v>
      </c>
      <c r="AF30" s="141">
        <f t="shared" si="15"/>
        <v>118.1</v>
      </c>
      <c r="AG30" s="141">
        <f t="shared" si="15"/>
        <v>110.2</v>
      </c>
      <c r="AH30" s="141">
        <f t="shared" si="16"/>
        <v>620</v>
      </c>
      <c r="AI30" s="108"/>
      <c r="AJ30" s="148">
        <v>23</v>
      </c>
      <c r="AK30" s="149" t="s">
        <v>26</v>
      </c>
      <c r="AL30" s="144">
        <f t="shared" si="8"/>
        <v>118.1</v>
      </c>
      <c r="AM30" s="145">
        <f t="shared" si="9"/>
        <v>0.13921961570199223</v>
      </c>
      <c r="AN30" s="144">
        <f t="shared" si="13"/>
        <v>110.2</v>
      </c>
      <c r="AO30" s="145">
        <f t="shared" si="10"/>
        <v>0.12990687256866676</v>
      </c>
      <c r="AP30" s="144">
        <f t="shared" si="14"/>
        <v>620</v>
      </c>
      <c r="AQ30" s="145">
        <f t="shared" si="11"/>
        <v>0.73087351172934112</v>
      </c>
    </row>
    <row r="31" spans="1:43" x14ac:dyDescent="0.25">
      <c r="A31" s="156">
        <v>24</v>
      </c>
      <c r="B31" s="157" t="s">
        <v>27</v>
      </c>
      <c r="C31" s="259">
        <f>[8]Juni!C31+[3]Juni!J29</f>
        <v>52.2</v>
      </c>
      <c r="D31" s="260">
        <f>19.3+2</f>
        <v>21.3</v>
      </c>
      <c r="E31" s="260"/>
      <c r="F31" s="87">
        <f t="shared" si="0"/>
        <v>73.5</v>
      </c>
      <c r="G31" s="259">
        <f>[8]Juni!G31+[3]Juni!Q29</f>
        <v>1.9</v>
      </c>
      <c r="H31" s="260">
        <v>24.6</v>
      </c>
      <c r="I31" s="260"/>
      <c r="J31" s="87">
        <f t="shared" si="1"/>
        <v>26.5</v>
      </c>
      <c r="K31" s="259">
        <f>2.5+50</f>
        <v>52.5</v>
      </c>
      <c r="L31" s="260">
        <v>6.3</v>
      </c>
      <c r="M31" s="260"/>
      <c r="N31" s="87">
        <f t="shared" si="2"/>
        <v>58.8</v>
      </c>
      <c r="O31" s="259">
        <f>[8]Juni!O31+[3]Juni!X29</f>
        <v>51.9</v>
      </c>
      <c r="P31" s="260">
        <f>13.8+1</f>
        <v>14.8</v>
      </c>
      <c r="Q31" s="260"/>
      <c r="R31" s="87">
        <f t="shared" si="3"/>
        <v>66.7</v>
      </c>
      <c r="S31" s="261">
        <v>0</v>
      </c>
      <c r="T31" s="260">
        <f>10+3</f>
        <v>13</v>
      </c>
      <c r="U31" s="260"/>
      <c r="V31" s="87">
        <f t="shared" si="4"/>
        <v>13</v>
      </c>
      <c r="W31" s="257">
        <v>0</v>
      </c>
      <c r="X31" s="260">
        <v>30</v>
      </c>
      <c r="Y31" s="260"/>
      <c r="Z31" s="87">
        <f t="shared" si="5"/>
        <v>30</v>
      </c>
      <c r="AA31" s="94">
        <f t="shared" si="12"/>
        <v>268.5</v>
      </c>
      <c r="AB31" s="96" t="s">
        <v>53</v>
      </c>
      <c r="AC31" s="138"/>
      <c r="AD31" s="146">
        <v>24</v>
      </c>
      <c r="AE31" s="147" t="s">
        <v>27</v>
      </c>
      <c r="AF31" s="141">
        <f t="shared" si="15"/>
        <v>158.5</v>
      </c>
      <c r="AG31" s="141">
        <f t="shared" si="15"/>
        <v>110</v>
      </c>
      <c r="AH31" s="141">
        <f t="shared" si="16"/>
        <v>0</v>
      </c>
      <c r="AI31" s="108"/>
      <c r="AJ31" s="148">
        <v>24</v>
      </c>
      <c r="AK31" s="149" t="s">
        <v>27</v>
      </c>
      <c r="AL31" s="144">
        <f t="shared" si="8"/>
        <v>158.5</v>
      </c>
      <c r="AM31" s="145">
        <f t="shared" si="9"/>
        <v>0.59031657355679701</v>
      </c>
      <c r="AN31" s="144">
        <f t="shared" si="13"/>
        <v>110</v>
      </c>
      <c r="AO31" s="145">
        <f t="shared" si="10"/>
        <v>0.40968342644320299</v>
      </c>
      <c r="AP31" s="144">
        <f t="shared" si="14"/>
        <v>0</v>
      </c>
      <c r="AQ31" s="145">
        <f t="shared" si="11"/>
        <v>0</v>
      </c>
    </row>
    <row r="32" spans="1:43" x14ac:dyDescent="0.25">
      <c r="A32" s="156">
        <v>25</v>
      </c>
      <c r="B32" s="157" t="s">
        <v>28</v>
      </c>
      <c r="C32" s="259">
        <f>[8]Juni!C32+[3]Juni!J30</f>
        <v>2.2999999999999998</v>
      </c>
      <c r="D32" s="260">
        <v>19.399999999999999</v>
      </c>
      <c r="E32" s="260"/>
      <c r="F32" s="87">
        <f t="shared" si="0"/>
        <v>21.7</v>
      </c>
      <c r="G32" s="259">
        <f>[8]Juni!G32+[3]Juni!Q30</f>
        <v>52.1</v>
      </c>
      <c r="H32" s="260">
        <f>24.7+1</f>
        <v>25.7</v>
      </c>
      <c r="I32" s="260"/>
      <c r="J32" s="87">
        <f t="shared" si="1"/>
        <v>77.8</v>
      </c>
      <c r="K32" s="259">
        <f>1.4+50</f>
        <v>51.4</v>
      </c>
      <c r="L32" s="260">
        <v>5.4</v>
      </c>
      <c r="M32" s="260"/>
      <c r="N32" s="87">
        <f t="shared" si="2"/>
        <v>56.8</v>
      </c>
      <c r="O32" s="259">
        <f>[8]Juni!O32+[3]Juni!X30</f>
        <v>2.1</v>
      </c>
      <c r="P32" s="260">
        <v>14</v>
      </c>
      <c r="Q32" s="260"/>
      <c r="R32" s="87">
        <f t="shared" si="3"/>
        <v>16.100000000000001</v>
      </c>
      <c r="S32" s="261">
        <v>0</v>
      </c>
      <c r="T32" s="260">
        <f>10+3</f>
        <v>13</v>
      </c>
      <c r="U32" s="260"/>
      <c r="V32" s="87">
        <f t="shared" si="4"/>
        <v>13</v>
      </c>
      <c r="W32" s="257">
        <v>0</v>
      </c>
      <c r="X32" s="260">
        <v>30</v>
      </c>
      <c r="Y32" s="260"/>
      <c r="Z32" s="87">
        <f t="shared" si="5"/>
        <v>30</v>
      </c>
      <c r="AA32" s="94">
        <f t="shared" si="12"/>
        <v>215.4</v>
      </c>
      <c r="AB32" s="96" t="s">
        <v>53</v>
      </c>
      <c r="AC32" s="138"/>
      <c r="AD32" s="146">
        <v>25</v>
      </c>
      <c r="AE32" s="147" t="s">
        <v>28</v>
      </c>
      <c r="AF32" s="141">
        <f t="shared" si="15"/>
        <v>107.89999999999999</v>
      </c>
      <c r="AG32" s="141">
        <f t="shared" si="15"/>
        <v>107.5</v>
      </c>
      <c r="AH32" s="141">
        <f t="shared" si="16"/>
        <v>0</v>
      </c>
      <c r="AI32" s="108"/>
      <c r="AJ32" s="148">
        <v>25</v>
      </c>
      <c r="AK32" s="149" t="s">
        <v>28</v>
      </c>
      <c r="AL32" s="144">
        <f t="shared" si="8"/>
        <v>107.89999999999999</v>
      </c>
      <c r="AM32" s="145">
        <f t="shared" si="9"/>
        <v>0.500928505106778</v>
      </c>
      <c r="AN32" s="144">
        <f t="shared" si="13"/>
        <v>107.5</v>
      </c>
      <c r="AO32" s="145">
        <f t="shared" si="10"/>
        <v>0.49907149489322189</v>
      </c>
      <c r="AP32" s="144">
        <f t="shared" si="14"/>
        <v>0</v>
      </c>
      <c r="AQ32" s="145">
        <f t="shared" si="11"/>
        <v>0</v>
      </c>
    </row>
    <row r="33" spans="1:43" x14ac:dyDescent="0.25">
      <c r="A33" s="156">
        <v>26</v>
      </c>
      <c r="B33" s="157" t="s">
        <v>29</v>
      </c>
      <c r="C33" s="259">
        <f>[8]Juni!C33+[3]Juni!J31</f>
        <v>52.1</v>
      </c>
      <c r="D33" s="260">
        <f>19.3+1</f>
        <v>20.3</v>
      </c>
      <c r="E33" s="260">
        <v>60</v>
      </c>
      <c r="F33" s="87">
        <f t="shared" si="0"/>
        <v>132.4</v>
      </c>
      <c r="G33" s="259">
        <f>[8]Juni!G33+[3]Juni!Q31</f>
        <v>1.8</v>
      </c>
      <c r="H33" s="260">
        <v>23.7</v>
      </c>
      <c r="I33" s="260">
        <v>200</v>
      </c>
      <c r="J33" s="87">
        <f t="shared" si="1"/>
        <v>225.5</v>
      </c>
      <c r="K33" s="259">
        <f>1.9+50</f>
        <v>51.9</v>
      </c>
      <c r="L33" s="260">
        <v>5.4</v>
      </c>
      <c r="M33" s="260">
        <v>100</v>
      </c>
      <c r="N33" s="87">
        <f t="shared" si="2"/>
        <v>157.30000000000001</v>
      </c>
      <c r="O33" s="259">
        <f>[8]Juni!O33+[3]Juni!X31</f>
        <v>51.3</v>
      </c>
      <c r="P33" s="260">
        <f>14.3+1</f>
        <v>15.3</v>
      </c>
      <c r="Q33" s="260">
        <v>200</v>
      </c>
      <c r="R33" s="87">
        <f t="shared" si="3"/>
        <v>266.60000000000002</v>
      </c>
      <c r="S33" s="261">
        <v>0</v>
      </c>
      <c r="T33" s="260">
        <f>10+1</f>
        <v>11</v>
      </c>
      <c r="U33" s="260">
        <v>10</v>
      </c>
      <c r="V33" s="87">
        <f t="shared" si="4"/>
        <v>21</v>
      </c>
      <c r="W33" s="257">
        <v>10</v>
      </c>
      <c r="X33" s="260">
        <f>30+2</f>
        <v>32</v>
      </c>
      <c r="Y33" s="260">
        <v>50</v>
      </c>
      <c r="Z33" s="87">
        <f t="shared" si="5"/>
        <v>92</v>
      </c>
      <c r="AA33" s="94">
        <f t="shared" si="12"/>
        <v>894.80000000000007</v>
      </c>
      <c r="AB33" s="96" t="s">
        <v>53</v>
      </c>
      <c r="AC33" s="138"/>
      <c r="AD33" s="146">
        <v>26</v>
      </c>
      <c r="AE33" s="147" t="s">
        <v>29</v>
      </c>
      <c r="AF33" s="141">
        <f t="shared" si="15"/>
        <v>167.1</v>
      </c>
      <c r="AG33" s="141">
        <f t="shared" si="15"/>
        <v>107.7</v>
      </c>
      <c r="AH33" s="141">
        <f t="shared" si="16"/>
        <v>620</v>
      </c>
      <c r="AI33" s="108"/>
      <c r="AJ33" s="148">
        <v>26</v>
      </c>
      <c r="AK33" s="149" t="s">
        <v>29</v>
      </c>
      <c r="AL33" s="144">
        <f t="shared" si="8"/>
        <v>167.1</v>
      </c>
      <c r="AM33" s="145">
        <f t="shared" si="9"/>
        <v>0.1867456414841305</v>
      </c>
      <c r="AN33" s="144">
        <f t="shared" si="13"/>
        <v>107.7</v>
      </c>
      <c r="AO33" s="145">
        <f t="shared" si="10"/>
        <v>0.12036209208761733</v>
      </c>
      <c r="AP33" s="144">
        <f t="shared" si="14"/>
        <v>620</v>
      </c>
      <c r="AQ33" s="145">
        <f t="shared" si="11"/>
        <v>0.69289226642825208</v>
      </c>
    </row>
    <row r="34" spans="1:43" x14ac:dyDescent="0.25">
      <c r="A34" s="156">
        <v>27</v>
      </c>
      <c r="B34" s="157" t="s">
        <v>30</v>
      </c>
      <c r="C34" s="259">
        <f>[8]Juni!C34+[3]Juni!J32</f>
        <v>0</v>
      </c>
      <c r="D34" s="260"/>
      <c r="E34" s="260"/>
      <c r="F34" s="87">
        <f t="shared" si="0"/>
        <v>0</v>
      </c>
      <c r="G34" s="259">
        <f>[8]Juni!G34+[3]Juni!Q32</f>
        <v>0</v>
      </c>
      <c r="H34" s="260"/>
      <c r="I34" s="260"/>
      <c r="J34" s="87">
        <f t="shared" si="1"/>
        <v>0</v>
      </c>
      <c r="K34" s="259">
        <v>1.4</v>
      </c>
      <c r="L34" s="260">
        <v>5.7</v>
      </c>
      <c r="M34" s="260"/>
      <c r="N34" s="87">
        <f t="shared" si="2"/>
        <v>7.1</v>
      </c>
      <c r="O34" s="259">
        <f>[8]Juni!O34+[3]Juni!X32</f>
        <v>50</v>
      </c>
      <c r="P34" s="260">
        <v>1</v>
      </c>
      <c r="Q34" s="260"/>
      <c r="R34" s="87">
        <f t="shared" si="3"/>
        <v>51</v>
      </c>
      <c r="S34" s="261">
        <v>0</v>
      </c>
      <c r="T34" s="260"/>
      <c r="U34" s="260"/>
      <c r="V34" s="87">
        <f t="shared" si="4"/>
        <v>0</v>
      </c>
      <c r="W34" s="257">
        <v>0</v>
      </c>
      <c r="X34" s="260"/>
      <c r="Y34" s="260"/>
      <c r="Z34" s="87">
        <f t="shared" si="5"/>
        <v>0</v>
      </c>
      <c r="AA34" s="94">
        <f t="shared" si="12"/>
        <v>58.1</v>
      </c>
      <c r="AB34" s="96" t="s">
        <v>53</v>
      </c>
      <c r="AC34" s="138"/>
      <c r="AD34" s="146">
        <v>27</v>
      </c>
      <c r="AE34" s="147" t="s">
        <v>30</v>
      </c>
      <c r="AF34" s="141">
        <f t="shared" si="15"/>
        <v>51.4</v>
      </c>
      <c r="AG34" s="141">
        <f t="shared" si="15"/>
        <v>6.7</v>
      </c>
      <c r="AH34" s="141">
        <f t="shared" si="16"/>
        <v>0</v>
      </c>
      <c r="AI34" s="108"/>
      <c r="AJ34" s="148">
        <v>27</v>
      </c>
      <c r="AK34" s="149" t="s">
        <v>30</v>
      </c>
      <c r="AL34" s="144">
        <f t="shared" si="8"/>
        <v>51.4</v>
      </c>
      <c r="AM34" s="145">
        <f t="shared" si="9"/>
        <v>0.88468158347676418</v>
      </c>
      <c r="AN34" s="144">
        <f t="shared" si="13"/>
        <v>6.7</v>
      </c>
      <c r="AO34" s="145">
        <f t="shared" si="10"/>
        <v>0.11531841652323579</v>
      </c>
      <c r="AP34" s="144">
        <f t="shared" si="14"/>
        <v>0</v>
      </c>
      <c r="AQ34" s="145">
        <f t="shared" si="11"/>
        <v>0</v>
      </c>
    </row>
    <row r="35" spans="1:43" x14ac:dyDescent="0.25">
      <c r="A35" s="156">
        <v>28</v>
      </c>
      <c r="B35" s="157" t="s">
        <v>31</v>
      </c>
      <c r="C35" s="259">
        <f>[8]Juni!C35+[3]Juni!J33</f>
        <v>50</v>
      </c>
      <c r="D35" s="260">
        <f>15+1</f>
        <v>16</v>
      </c>
      <c r="E35" s="260"/>
      <c r="F35" s="87">
        <f t="shared" si="0"/>
        <v>66</v>
      </c>
      <c r="G35" s="259">
        <f>[8]Juni!G35+[3]Juni!Q33</f>
        <v>52.1</v>
      </c>
      <c r="H35" s="260">
        <f>24.3+1</f>
        <v>25.3</v>
      </c>
      <c r="I35" s="260"/>
      <c r="J35" s="87">
        <f t="shared" si="1"/>
        <v>77.400000000000006</v>
      </c>
      <c r="K35" s="259">
        <f>1.3+50</f>
        <v>51.3</v>
      </c>
      <c r="L35" s="260">
        <v>4.3</v>
      </c>
      <c r="M35" s="260"/>
      <c r="N35" s="87">
        <f t="shared" si="2"/>
        <v>55.599999999999994</v>
      </c>
      <c r="O35" s="259">
        <f>[8]Juni!O35+[3]Juni!X33</f>
        <v>2.5</v>
      </c>
      <c r="P35" s="260">
        <v>14</v>
      </c>
      <c r="Q35" s="260"/>
      <c r="R35" s="87">
        <f t="shared" si="3"/>
        <v>16.5</v>
      </c>
      <c r="S35" s="261">
        <v>0</v>
      </c>
      <c r="T35" s="260">
        <f>10+2</f>
        <v>12</v>
      </c>
      <c r="U35" s="260"/>
      <c r="V35" s="87">
        <f t="shared" si="4"/>
        <v>12</v>
      </c>
      <c r="W35" s="257">
        <v>10</v>
      </c>
      <c r="X35" s="260">
        <f>30+1</f>
        <v>31</v>
      </c>
      <c r="Y35" s="260"/>
      <c r="Z35" s="87">
        <f t="shared" si="5"/>
        <v>41</v>
      </c>
      <c r="AA35" s="94">
        <f t="shared" si="12"/>
        <v>268.5</v>
      </c>
      <c r="AB35" s="96" t="s">
        <v>53</v>
      </c>
      <c r="AC35" s="138"/>
      <c r="AD35" s="146">
        <v>28</v>
      </c>
      <c r="AE35" s="147" t="s">
        <v>31</v>
      </c>
      <c r="AF35" s="141">
        <f t="shared" si="15"/>
        <v>165.89999999999998</v>
      </c>
      <c r="AG35" s="141">
        <f t="shared" si="15"/>
        <v>102.6</v>
      </c>
      <c r="AH35" s="141">
        <f t="shared" si="16"/>
        <v>0</v>
      </c>
      <c r="AI35" s="108"/>
      <c r="AJ35" s="148">
        <v>28</v>
      </c>
      <c r="AK35" s="149" t="s">
        <v>31</v>
      </c>
      <c r="AL35" s="144">
        <f t="shared" si="8"/>
        <v>165.89999999999998</v>
      </c>
      <c r="AM35" s="145">
        <f t="shared" si="9"/>
        <v>0.617877094972067</v>
      </c>
      <c r="AN35" s="144">
        <f t="shared" si="13"/>
        <v>102.6</v>
      </c>
      <c r="AO35" s="145">
        <f t="shared" si="10"/>
        <v>0.38212290502793295</v>
      </c>
      <c r="AP35" s="144">
        <f t="shared" si="14"/>
        <v>0</v>
      </c>
      <c r="AQ35" s="145">
        <f t="shared" si="11"/>
        <v>0</v>
      </c>
    </row>
    <row r="36" spans="1:43" x14ac:dyDescent="0.25">
      <c r="A36" s="156">
        <v>29</v>
      </c>
      <c r="B36" s="157" t="s">
        <v>32</v>
      </c>
      <c r="C36" s="259">
        <f>[8]Juni!C36+[3]Juni!J34</f>
        <v>0</v>
      </c>
      <c r="D36" s="260"/>
      <c r="E36" s="260"/>
      <c r="F36" s="87">
        <f t="shared" si="0"/>
        <v>0</v>
      </c>
      <c r="G36" s="259">
        <f>[8]Juni!G36+[3]Juni!Q34</f>
        <v>0</v>
      </c>
      <c r="H36" s="260"/>
      <c r="I36" s="260"/>
      <c r="J36" s="87">
        <f t="shared" si="1"/>
        <v>0</v>
      </c>
      <c r="K36" s="259">
        <v>1.4</v>
      </c>
      <c r="L36" s="260">
        <v>4.8</v>
      </c>
      <c r="M36" s="260"/>
      <c r="N36" s="87">
        <f t="shared" si="2"/>
        <v>6.1999999999999993</v>
      </c>
      <c r="O36" s="259">
        <f>[8]Juni!O36+[3]Juni!X34</f>
        <v>0</v>
      </c>
      <c r="P36" s="260"/>
      <c r="Q36" s="260"/>
      <c r="R36" s="87">
        <f t="shared" si="3"/>
        <v>0</v>
      </c>
      <c r="S36" s="261">
        <v>0</v>
      </c>
      <c r="T36" s="260"/>
      <c r="U36" s="260"/>
      <c r="V36" s="87">
        <f t="shared" si="4"/>
        <v>0</v>
      </c>
      <c r="W36" s="257">
        <v>0</v>
      </c>
      <c r="X36" s="260"/>
      <c r="Y36" s="260"/>
      <c r="Z36" s="87">
        <f t="shared" si="5"/>
        <v>0</v>
      </c>
      <c r="AA36" s="94">
        <f t="shared" si="12"/>
        <v>6.1999999999999993</v>
      </c>
      <c r="AB36" s="96" t="s">
        <v>53</v>
      </c>
      <c r="AC36" s="138"/>
      <c r="AD36" s="146">
        <v>29</v>
      </c>
      <c r="AE36" s="147" t="s">
        <v>32</v>
      </c>
      <c r="AF36" s="141">
        <f t="shared" si="15"/>
        <v>1.4</v>
      </c>
      <c r="AG36" s="141">
        <f t="shared" si="15"/>
        <v>4.8</v>
      </c>
      <c r="AH36" s="141">
        <f t="shared" si="16"/>
        <v>0</v>
      </c>
      <c r="AI36" s="108"/>
      <c r="AJ36" s="148">
        <v>29</v>
      </c>
      <c r="AK36" s="149" t="s">
        <v>32</v>
      </c>
      <c r="AL36" s="144">
        <f t="shared" si="8"/>
        <v>1.4</v>
      </c>
      <c r="AM36" s="145">
        <f t="shared" si="9"/>
        <v>0.22580645161290325</v>
      </c>
      <c r="AN36" s="144">
        <f t="shared" si="13"/>
        <v>4.8</v>
      </c>
      <c r="AO36" s="145">
        <f t="shared" si="10"/>
        <v>0.77419354838709686</v>
      </c>
      <c r="AP36" s="144">
        <f t="shared" si="14"/>
        <v>0</v>
      </c>
      <c r="AQ36" s="145">
        <f t="shared" si="11"/>
        <v>0</v>
      </c>
    </row>
    <row r="37" spans="1:43" x14ac:dyDescent="0.25">
      <c r="A37" s="156">
        <v>30</v>
      </c>
      <c r="B37" s="157" t="s">
        <v>33</v>
      </c>
      <c r="C37" s="259">
        <f>[8]Juni!C37+[3]Juni!J35</f>
        <v>2.2999999999999998</v>
      </c>
      <c r="D37" s="260">
        <v>19.2</v>
      </c>
      <c r="E37" s="260"/>
      <c r="F37" s="87">
        <f t="shared" si="0"/>
        <v>21.5</v>
      </c>
      <c r="G37" s="259">
        <f>[8]Juni!G37+[3]Juni!Q35</f>
        <v>1.9</v>
      </c>
      <c r="H37" s="260">
        <v>24.1</v>
      </c>
      <c r="I37" s="260"/>
      <c r="J37" s="87">
        <f t="shared" si="1"/>
        <v>26</v>
      </c>
      <c r="K37" s="259">
        <v>1.4</v>
      </c>
      <c r="L37" s="260">
        <v>4.5999999999999996</v>
      </c>
      <c r="M37" s="260"/>
      <c r="N37" s="87">
        <f t="shared" si="2"/>
        <v>6</v>
      </c>
      <c r="O37" s="259">
        <f>[8]Juni!O37+[3]Juni!X35</f>
        <v>2.4</v>
      </c>
      <c r="P37" s="260">
        <v>13.8</v>
      </c>
      <c r="Q37" s="260"/>
      <c r="R37" s="87">
        <f t="shared" si="3"/>
        <v>16.2</v>
      </c>
      <c r="S37" s="261">
        <v>0</v>
      </c>
      <c r="T37" s="260">
        <v>10</v>
      </c>
      <c r="U37" s="260"/>
      <c r="V37" s="87">
        <f t="shared" si="4"/>
        <v>10</v>
      </c>
      <c r="W37" s="257">
        <v>0</v>
      </c>
      <c r="X37" s="260">
        <v>30</v>
      </c>
      <c r="Y37" s="260"/>
      <c r="Z37" s="87">
        <f t="shared" si="5"/>
        <v>30</v>
      </c>
      <c r="AA37" s="94">
        <f t="shared" si="12"/>
        <v>109.7</v>
      </c>
      <c r="AB37" s="96" t="s">
        <v>53</v>
      </c>
      <c r="AC37" s="138"/>
      <c r="AD37" s="146">
        <v>30</v>
      </c>
      <c r="AE37" s="147" t="s">
        <v>33</v>
      </c>
      <c r="AF37" s="141">
        <f t="shared" si="15"/>
        <v>8</v>
      </c>
      <c r="AG37" s="141">
        <f t="shared" si="15"/>
        <v>101.7</v>
      </c>
      <c r="AH37" s="141">
        <f t="shared" si="16"/>
        <v>0</v>
      </c>
      <c r="AI37" s="108"/>
      <c r="AJ37" s="148">
        <v>30</v>
      </c>
      <c r="AK37" s="149" t="s">
        <v>33</v>
      </c>
      <c r="AL37" s="144">
        <f t="shared" si="8"/>
        <v>8</v>
      </c>
      <c r="AM37" s="145">
        <f t="shared" si="9"/>
        <v>7.2926162260711025E-2</v>
      </c>
      <c r="AN37" s="144">
        <f t="shared" si="13"/>
        <v>101.7</v>
      </c>
      <c r="AO37" s="145">
        <f t="shared" si="10"/>
        <v>0.92707383773928898</v>
      </c>
      <c r="AP37" s="144">
        <f t="shared" si="14"/>
        <v>0</v>
      </c>
      <c r="AQ37" s="145">
        <f t="shared" si="11"/>
        <v>0</v>
      </c>
    </row>
    <row r="38" spans="1:43" ht="15.75" thickBot="1" x14ac:dyDescent="0.3">
      <c r="A38" s="158">
        <v>31</v>
      </c>
      <c r="B38" s="159" t="s">
        <v>34</v>
      </c>
      <c r="C38" s="261"/>
      <c r="D38" s="262"/>
      <c r="E38" s="262"/>
      <c r="F38" s="88">
        <f t="shared" si="0"/>
        <v>0</v>
      </c>
      <c r="G38" s="261"/>
      <c r="H38" s="262"/>
      <c r="I38" s="262"/>
      <c r="J38" s="88">
        <f t="shared" si="1"/>
        <v>0</v>
      </c>
      <c r="K38" s="261"/>
      <c r="L38" s="262"/>
      <c r="M38" s="262"/>
      <c r="N38" s="88">
        <f t="shared" si="2"/>
        <v>0</v>
      </c>
      <c r="O38" s="261"/>
      <c r="P38" s="262"/>
      <c r="Q38" s="262"/>
      <c r="R38" s="88">
        <f t="shared" si="3"/>
        <v>0</v>
      </c>
      <c r="S38" s="261">
        <v>0</v>
      </c>
      <c r="T38" s="262">
        <v>10</v>
      </c>
      <c r="U38" s="262"/>
      <c r="V38" s="88">
        <f t="shared" si="4"/>
        <v>10</v>
      </c>
      <c r="W38" s="257">
        <v>0</v>
      </c>
      <c r="X38" s="262"/>
      <c r="Y38" s="262"/>
      <c r="Z38" s="88">
        <f t="shared" si="5"/>
        <v>0</v>
      </c>
      <c r="AA38" s="94">
        <f t="shared" si="12"/>
        <v>10</v>
      </c>
      <c r="AB38" s="97" t="s">
        <v>53</v>
      </c>
      <c r="AC38" s="138"/>
      <c r="AD38" s="150">
        <v>31</v>
      </c>
      <c r="AE38" s="151" t="s">
        <v>34</v>
      </c>
      <c r="AF38" s="141">
        <f t="shared" si="15"/>
        <v>0</v>
      </c>
      <c r="AG38" s="141">
        <f t="shared" si="15"/>
        <v>10</v>
      </c>
      <c r="AH38" s="141">
        <f t="shared" si="16"/>
        <v>0</v>
      </c>
      <c r="AI38" s="108"/>
      <c r="AJ38" s="148">
        <v>31</v>
      </c>
      <c r="AK38" s="149" t="s">
        <v>34</v>
      </c>
      <c r="AL38" s="152">
        <f t="shared" si="8"/>
        <v>0</v>
      </c>
      <c r="AM38" s="153">
        <f t="shared" si="9"/>
        <v>0</v>
      </c>
      <c r="AN38" s="144">
        <f t="shared" si="13"/>
        <v>10</v>
      </c>
      <c r="AO38" s="145">
        <f t="shared" si="10"/>
        <v>1</v>
      </c>
      <c r="AP38" s="144">
        <f t="shared" si="14"/>
        <v>0</v>
      </c>
      <c r="AQ38" s="145">
        <f t="shared" si="11"/>
        <v>0</v>
      </c>
    </row>
    <row r="39" spans="1:43" ht="33.75" customHeight="1" thickBot="1" x14ac:dyDescent="0.3">
      <c r="A39" s="308" t="s">
        <v>58</v>
      </c>
      <c r="B39" s="309"/>
      <c r="C39" s="99">
        <f t="shared" ref="C39:I39" si="17">SUM(C8:C38)</f>
        <v>640.5</v>
      </c>
      <c r="D39" s="100">
        <f t="shared" si="17"/>
        <v>456.2</v>
      </c>
      <c r="E39" s="100">
        <f t="shared" si="17"/>
        <v>120</v>
      </c>
      <c r="F39" s="219">
        <f t="shared" si="17"/>
        <v>1216.7</v>
      </c>
      <c r="G39" s="101">
        <f t="shared" si="17"/>
        <v>651.79999999999995</v>
      </c>
      <c r="H39" s="102">
        <f t="shared" si="17"/>
        <v>608.20000000000005</v>
      </c>
      <c r="I39" s="102">
        <f t="shared" si="17"/>
        <v>400</v>
      </c>
      <c r="J39" s="219">
        <f>SUM(J8:J38)</f>
        <v>1660</v>
      </c>
      <c r="K39" s="101">
        <f>SUM(K8:K38)</f>
        <v>904.39999999999986</v>
      </c>
      <c r="L39" s="102">
        <f>SUM(L8:L38)</f>
        <v>154.60000000000002</v>
      </c>
      <c r="M39" s="102">
        <f t="shared" ref="M39" si="18">SUM(M8:M38)</f>
        <v>200</v>
      </c>
      <c r="N39" s="219">
        <f>SUM(N8:N38)</f>
        <v>1258.9999999999998</v>
      </c>
      <c r="O39" s="101">
        <f>SUM(O8:O38)</f>
        <v>739.4</v>
      </c>
      <c r="P39" s="102">
        <f>SUM(P8:P38)</f>
        <v>358.5</v>
      </c>
      <c r="Q39" s="102">
        <f t="shared" ref="Q39" si="19">SUM(Q8:Q38)</f>
        <v>400</v>
      </c>
      <c r="R39" s="219">
        <f>SUM(R8:R38)</f>
        <v>1497.8999999999999</v>
      </c>
      <c r="S39" s="101">
        <f>SUM(S8:S38)</f>
        <v>0</v>
      </c>
      <c r="T39" s="102">
        <f>SUM(T8:T38)</f>
        <v>295</v>
      </c>
      <c r="U39" s="102">
        <f t="shared" ref="U39" si="20">SUM(U8:U38)</f>
        <v>20</v>
      </c>
      <c r="V39" s="219">
        <f>SUM(V8:V38)</f>
        <v>315</v>
      </c>
      <c r="W39" s="101">
        <f>SUM(W8:W38)</f>
        <v>90</v>
      </c>
      <c r="X39" s="102">
        <f>SUM(X8:X38)</f>
        <v>720</v>
      </c>
      <c r="Y39" s="102">
        <f t="shared" ref="Y39" si="21">SUM(Y8:Y38)</f>
        <v>100</v>
      </c>
      <c r="Z39" s="219">
        <f>SUM(Z8:Z38)</f>
        <v>910</v>
      </c>
      <c r="AA39" s="220">
        <f>SUM(AA8:AA38)</f>
        <v>6858.5999999999995</v>
      </c>
      <c r="AB39" s="221" t="s">
        <v>51</v>
      </c>
      <c r="AC39" s="103"/>
      <c r="AD39" s="104" t="s">
        <v>96</v>
      </c>
      <c r="AE39" s="105"/>
      <c r="AF39" s="106">
        <f>SUM(AF8:AF38)</f>
        <v>3026.1000000000004</v>
      </c>
      <c r="AG39" s="106">
        <f>SUM(AG8:AG38)</f>
        <v>2592.4999999999995</v>
      </c>
      <c r="AH39" s="107">
        <f>SUM(AH8:AH38)</f>
        <v>1240</v>
      </c>
      <c r="AI39" s="108"/>
      <c r="AJ39" s="109" t="s">
        <v>94</v>
      </c>
      <c r="AK39" s="110"/>
      <c r="AL39" s="111">
        <f>SUM(AL8:AL38)</f>
        <v>3026.1000000000004</v>
      </c>
      <c r="AM39" s="112" t="s">
        <v>64</v>
      </c>
      <c r="AN39" s="111">
        <f>SUM(AN8:AN38)</f>
        <v>2592.4999999999995</v>
      </c>
      <c r="AO39" s="113" t="s">
        <v>64</v>
      </c>
      <c r="AP39" s="111">
        <f>SUM(AP8:AP38)</f>
        <v>1240</v>
      </c>
      <c r="AQ39" s="113" t="s">
        <v>64</v>
      </c>
    </row>
    <row r="40" spans="1:43" ht="33.75" customHeight="1" thickBot="1" x14ac:dyDescent="0.3">
      <c r="A40" s="308" t="s">
        <v>59</v>
      </c>
      <c r="B40" s="309"/>
      <c r="C40" s="114">
        <f>C39/1000</f>
        <v>0.64049999999999996</v>
      </c>
      <c r="D40" s="115">
        <f t="shared" ref="D40:E40" si="22">D39/1000</f>
        <v>0.45619999999999999</v>
      </c>
      <c r="E40" s="115">
        <f t="shared" si="22"/>
        <v>0.12</v>
      </c>
      <c r="F40" s="222">
        <f>F39/1000</f>
        <v>1.2167000000000001</v>
      </c>
      <c r="G40" s="116">
        <f>G39/1000</f>
        <v>0.65179999999999993</v>
      </c>
      <c r="H40" s="117">
        <f t="shared" ref="H40:I40" si="23">H39/1000</f>
        <v>0.60820000000000007</v>
      </c>
      <c r="I40" s="117">
        <f t="shared" si="23"/>
        <v>0.4</v>
      </c>
      <c r="J40" s="222">
        <f>J39/1000</f>
        <v>1.66</v>
      </c>
      <c r="K40" s="116">
        <f>K39/1000</f>
        <v>0.90439999999999987</v>
      </c>
      <c r="L40" s="117">
        <f t="shared" ref="L40:M40" si="24">L39/1000</f>
        <v>0.15460000000000002</v>
      </c>
      <c r="M40" s="117">
        <f t="shared" si="24"/>
        <v>0.2</v>
      </c>
      <c r="N40" s="222">
        <f>N39/1000</f>
        <v>1.2589999999999997</v>
      </c>
      <c r="O40" s="116">
        <f>O39/1000</f>
        <v>0.73939999999999995</v>
      </c>
      <c r="P40" s="117">
        <f t="shared" ref="P40:Q40" si="25">P39/1000</f>
        <v>0.35849999999999999</v>
      </c>
      <c r="Q40" s="117">
        <f t="shared" si="25"/>
        <v>0.4</v>
      </c>
      <c r="R40" s="222">
        <f>R39/1000</f>
        <v>1.4978999999999998</v>
      </c>
      <c r="S40" s="116">
        <f>S39/1000</f>
        <v>0</v>
      </c>
      <c r="T40" s="117">
        <f t="shared" ref="T40" si="26">T39/1000</f>
        <v>0.29499999999999998</v>
      </c>
      <c r="U40" s="117">
        <f>U39/1000</f>
        <v>0.02</v>
      </c>
      <c r="V40" s="222">
        <f>V39/1000</f>
        <v>0.315</v>
      </c>
      <c r="W40" s="116">
        <f>W39/1000</f>
        <v>0.09</v>
      </c>
      <c r="X40" s="117">
        <f t="shared" ref="X40:Y40" si="27">X39/1000</f>
        <v>0.72</v>
      </c>
      <c r="Y40" s="117">
        <f t="shared" si="27"/>
        <v>0.1</v>
      </c>
      <c r="Z40" s="222">
        <f>Z39/1000</f>
        <v>0.91</v>
      </c>
      <c r="AA40" s="223">
        <f>AA39/1000</f>
        <v>6.8585999999999991</v>
      </c>
      <c r="AB40" s="224" t="s">
        <v>52</v>
      </c>
      <c r="AC40" s="103"/>
      <c r="AD40" s="118" t="s">
        <v>97</v>
      </c>
      <c r="AE40" s="119"/>
      <c r="AF40" s="120">
        <f>AF39/1000</f>
        <v>3.0261000000000005</v>
      </c>
      <c r="AG40" s="120">
        <f t="shared" ref="AG40:AH40" si="28">AG39/1000</f>
        <v>2.5924999999999994</v>
      </c>
      <c r="AH40" s="121">
        <f t="shared" si="28"/>
        <v>1.24</v>
      </c>
      <c r="AI40" s="108"/>
      <c r="AJ40" s="109" t="s">
        <v>95</v>
      </c>
      <c r="AK40" s="110"/>
      <c r="AL40" s="122">
        <f>AL39/1000</f>
        <v>3.0261000000000005</v>
      </c>
      <c r="AM40" s="123">
        <f>AL40/AA40</f>
        <v>0.44121249234537674</v>
      </c>
      <c r="AN40" s="122">
        <f>AN39/1000</f>
        <v>2.5924999999999994</v>
      </c>
      <c r="AO40" s="124">
        <f>AN40/AA40</f>
        <v>0.37799259324060297</v>
      </c>
      <c r="AP40" s="122">
        <f>AP39/1000</f>
        <v>1.24</v>
      </c>
      <c r="AQ40" s="124">
        <f>AP40/AA40</f>
        <v>0.18079491441402037</v>
      </c>
    </row>
    <row r="41" spans="1:43" ht="33.75" customHeight="1" thickBot="1" x14ac:dyDescent="0.3">
      <c r="A41" s="308" t="s">
        <v>74</v>
      </c>
      <c r="B41" s="309"/>
      <c r="C41" s="114">
        <f>_xlfn.AGGREGATE(1,7,C8:C38)</f>
        <v>21.35</v>
      </c>
      <c r="D41" s="114">
        <f>_xlfn.AGGREGATE(1,7,D8:D38)</f>
        <v>19.008333333333333</v>
      </c>
      <c r="E41" s="114">
        <f>_xlfn.AGGREGATE(1,7,E8:E38)</f>
        <v>60</v>
      </c>
      <c r="F41" s="222">
        <f>AVERAGEIF(F8:F38,"&gt;0")</f>
        <v>50.695833333333333</v>
      </c>
      <c r="G41" s="114">
        <f>_xlfn.AGGREGATE(1,7,G8:G38)</f>
        <v>21.726666666666667</v>
      </c>
      <c r="H41" s="114">
        <f>_xlfn.AGGREGATE(1,7,H8:H38)</f>
        <v>24.328000000000003</v>
      </c>
      <c r="I41" s="114">
        <f>_xlfn.AGGREGATE(1,7,I8:I38)</f>
        <v>200</v>
      </c>
      <c r="J41" s="222">
        <f>AVERAGEIF(J8:J38,"&gt;0")</f>
        <v>66.400000000000006</v>
      </c>
      <c r="K41" s="114">
        <f>_xlfn.AGGREGATE(1,7,K8:K38)</f>
        <v>30.146666666666661</v>
      </c>
      <c r="L41" s="114">
        <f>_xlfn.AGGREGATE(1,7,L8:L38)</f>
        <v>5.1533333333333342</v>
      </c>
      <c r="M41" s="114">
        <f>_xlfn.AGGREGATE(1,7,M8:M38)</f>
        <v>100</v>
      </c>
      <c r="N41" s="222">
        <f>AVERAGEIF(N8:N38,"&gt;0")</f>
        <v>41.966666666666661</v>
      </c>
      <c r="O41" s="114">
        <f>_xlfn.AGGREGATE(1,7,O8:O38)</f>
        <v>24.646666666666665</v>
      </c>
      <c r="P41" s="114">
        <f>_xlfn.AGGREGATE(1,7,P8:P38)</f>
        <v>14.34</v>
      </c>
      <c r="Q41" s="114">
        <f>_xlfn.AGGREGATE(1,7,Q8:Q38)</f>
        <v>200</v>
      </c>
      <c r="R41" s="222">
        <f>AVERAGEIF(R8:R38,"&gt;0")</f>
        <v>59.915999999999997</v>
      </c>
      <c r="S41" s="114">
        <f>_xlfn.AGGREGATE(1,7,S8:S38)</f>
        <v>0</v>
      </c>
      <c r="T41" s="114">
        <f>_xlfn.AGGREGATE(1,7,T8:T38)</f>
        <v>11.8</v>
      </c>
      <c r="U41" s="114">
        <f>_xlfn.AGGREGATE(1,7,U8:U38)</f>
        <v>10</v>
      </c>
      <c r="V41" s="222">
        <f>AVERAGEIF(V8:V38,"&gt;0")</f>
        <v>12.6</v>
      </c>
      <c r="W41" s="114">
        <f>_xlfn.AGGREGATE(1,7,W8:W38)</f>
        <v>2.903225806451613</v>
      </c>
      <c r="X41" s="114">
        <f>_xlfn.AGGREGATE(1,7,X8:X38)</f>
        <v>31.304347826086957</v>
      </c>
      <c r="Y41" s="114">
        <f>_xlfn.AGGREGATE(1,7,Y8:Y38)</f>
        <v>50</v>
      </c>
      <c r="Z41" s="222">
        <f>AVERAGEIF(Z8:Z38,"&gt;0")</f>
        <v>39.565217391304351</v>
      </c>
      <c r="AA41" s="223">
        <f>AVERAGEIF(AA8:AA38,"&gt;0")</f>
        <v>221.24516129032256</v>
      </c>
      <c r="AB41" s="225" t="s">
        <v>75</v>
      </c>
      <c r="AC41" s="103"/>
      <c r="AD41" s="118" t="s">
        <v>98</v>
      </c>
      <c r="AE41" s="119"/>
      <c r="AF41" s="125">
        <f>AVERAGEIF(AF8:AF38,"&gt;0")</f>
        <v>100.87000000000002</v>
      </c>
      <c r="AG41" s="125">
        <f>AVERAGEIF(AG8:AG38,"&gt;0")</f>
        <v>83.629032258064498</v>
      </c>
      <c r="AH41" s="125">
        <f>AVERAGEIF(AH8:AH38,"&gt;0")</f>
        <v>620</v>
      </c>
      <c r="AI41" s="108"/>
      <c r="AJ41" s="109" t="s">
        <v>99</v>
      </c>
      <c r="AK41" s="110"/>
      <c r="AL41" s="125">
        <f>AVERAGEIF(AL8:AL38,"&gt;0")</f>
        <v>100.87000000000002</v>
      </c>
      <c r="AM41" s="126" t="s">
        <v>64</v>
      </c>
      <c r="AN41" s="125">
        <f>AVERAGEIF(AN8:AN38,"&gt;0")</f>
        <v>83.629032258064498</v>
      </c>
      <c r="AO41" s="124" t="s">
        <v>64</v>
      </c>
      <c r="AP41" s="125">
        <f>AVERAGEIF(AP8:AP38,"&gt;0")</f>
        <v>620</v>
      </c>
      <c r="AQ41" s="124" t="s">
        <v>64</v>
      </c>
    </row>
    <row r="42" spans="1:43" x14ac:dyDescent="0.25">
      <c r="J42" s="89" t="s">
        <v>61</v>
      </c>
    </row>
    <row r="44" spans="1:43" x14ac:dyDescent="0.25">
      <c r="A44" s="128" t="s">
        <v>61</v>
      </c>
      <c r="C44" s="130" t="s">
        <v>50</v>
      </c>
      <c r="D44" s="131"/>
    </row>
    <row r="45" spans="1:43" x14ac:dyDescent="0.25">
      <c r="C45" s="132"/>
      <c r="D45" s="131" t="s">
        <v>133</v>
      </c>
    </row>
    <row r="46" spans="1:43" x14ac:dyDescent="0.25">
      <c r="C46" s="133"/>
      <c r="D46" s="131" t="s">
        <v>100</v>
      </c>
    </row>
    <row r="47" spans="1:43" x14ac:dyDescent="0.25">
      <c r="C47" s="134"/>
      <c r="D47" s="131" t="s">
        <v>100</v>
      </c>
    </row>
    <row r="48" spans="1:43" x14ac:dyDescent="0.25">
      <c r="C48" s="135"/>
      <c r="D48" s="131" t="s">
        <v>100</v>
      </c>
    </row>
    <row r="49" spans="3:5" x14ac:dyDescent="0.25">
      <c r="C49" s="136"/>
      <c r="D49" s="131" t="s">
        <v>100</v>
      </c>
    </row>
    <row r="50" spans="3:5" x14ac:dyDescent="0.25">
      <c r="C50" s="137"/>
      <c r="D50" s="131" t="s">
        <v>100</v>
      </c>
    </row>
    <row r="51" spans="3:5" x14ac:dyDescent="0.25">
      <c r="E51" s="129" t="s">
        <v>61</v>
      </c>
    </row>
  </sheetData>
  <sheetProtection algorithmName="SHA-512" hashValue="VwzPt8VrCkVkpnNe5fkN4WfJRdlIKK6cxnQ22ARYI1A7G5Ogq7lLiVjjklp2TIjuVvmOM7MLRtiD3uCkksVYXA==" saltValue="qa8p+vJ/hF3iZBdKUbUWRA==" spinCount="100000" sheet="1" objects="1" scenarios="1" formatColumns="0" formatRows="0"/>
  <mergeCells count="14">
    <mergeCell ref="A41:B41"/>
    <mergeCell ref="W6:Y6"/>
    <mergeCell ref="A4:A7"/>
    <mergeCell ref="B4:B7"/>
    <mergeCell ref="A39:B39"/>
    <mergeCell ref="A40:B40"/>
    <mergeCell ref="AJ6:AQ6"/>
    <mergeCell ref="AA3:AA7"/>
    <mergeCell ref="AB3:AB7"/>
    <mergeCell ref="C6:E6"/>
    <mergeCell ref="G6:I6"/>
    <mergeCell ref="K6:M6"/>
    <mergeCell ref="O6:Q6"/>
    <mergeCell ref="S6:U6"/>
  </mergeCells>
  <printOptions horizontalCentered="1"/>
  <pageMargins left="0.19685039370078741" right="0.19685039370078741" top="0.39370078740157483" bottom="0.39370078740157483" header="0.11811023622047245" footer="0.11811023622047245"/>
  <pageSetup paperSize="9" scale="6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13</vt:i4>
      </vt:variant>
    </vt:vector>
  </HeadingPairs>
  <TitlesOfParts>
    <vt:vector size="28" baseType="lpstr">
      <vt:lpstr>Rekap Neraca Pengelolaan Sampah</vt:lpstr>
      <vt:lpstr>Rekap Sampah terkelola</vt:lpstr>
      <vt:lpstr>Rekap area</vt:lpstr>
      <vt:lpstr>Juli</vt:lpstr>
      <vt:lpstr>Agustus</vt:lpstr>
      <vt:lpstr>September</vt:lpstr>
      <vt:lpstr>Oktober</vt:lpstr>
      <vt:lpstr>November</vt:lpstr>
      <vt:lpstr>Desember</vt:lpstr>
      <vt:lpstr>Januari</vt:lpstr>
      <vt:lpstr>Februari</vt:lpstr>
      <vt:lpstr>Maret</vt:lpstr>
      <vt:lpstr>April</vt:lpstr>
      <vt:lpstr>Mei</vt:lpstr>
      <vt:lpstr>Juni</vt:lpstr>
      <vt:lpstr>Agustus!Print_Area</vt:lpstr>
      <vt:lpstr>April!Print_Area</vt:lpstr>
      <vt:lpstr>Desember!Print_Area</vt:lpstr>
      <vt:lpstr>Februari!Print_Area</vt:lpstr>
      <vt:lpstr>Januari!Print_Area</vt:lpstr>
      <vt:lpstr>Juli!Print_Area</vt:lpstr>
      <vt:lpstr>Juni!Print_Area</vt:lpstr>
      <vt:lpstr>Maret!Print_Area</vt:lpstr>
      <vt:lpstr>Mei!Print_Area</vt:lpstr>
      <vt:lpstr>November!Print_Area</vt:lpstr>
      <vt:lpstr>Oktober!Print_Area</vt:lpstr>
      <vt:lpstr>'Rekap Neraca Pengelolaan Sampah'!Print_Area</vt:lpstr>
      <vt:lpstr>September!Print_Area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Aero</dc:creator>
  <cp:lastModifiedBy>Gusti Hamzah Akbar</cp:lastModifiedBy>
  <cp:lastPrinted>2025-06-27T11:08:31Z</cp:lastPrinted>
  <dcterms:created xsi:type="dcterms:W3CDTF">2024-04-19T08:12:52Z</dcterms:created>
  <dcterms:modified xsi:type="dcterms:W3CDTF">2025-09-08T04:05:15Z</dcterms:modified>
</cp:coreProperties>
</file>